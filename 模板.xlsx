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8"/>
  </bookViews>
  <sheets>
    <sheet name="总表" sheetId="1" r:id="rId1"/>
    <sheet name="市本级" sheetId="2" r:id="rId2"/>
    <sheet name="东港" sheetId="3" r:id="rId3"/>
    <sheet name="凤城" sheetId="4" r:id="rId4"/>
    <sheet name="宽甸" sheetId="5" r:id="rId5"/>
    <sheet name="排名" sheetId="6" r:id="rId6"/>
    <sheet name="占比" sheetId="8" r:id="rId7"/>
    <sheet name="各渠道复核业务来源统计" sheetId="10" r:id="rId8"/>
    <sheet name=" 复核业务量统计" sheetId="11" r:id="rId9"/>
    <sheet name="Sheet3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<sst xmlns="http://schemas.openxmlformats.org/spreadsheetml/2006/main" count="447" uniqueCount="220">
  <si>
    <t>表1.</t>
  </si>
  <si>
    <t xml:space="preserve">住房公积金柜台业务办理情况统计表         </t>
  </si>
  <si>
    <t xml:space="preserve">                                       统计月度： 2025年1月-12月                                                 单位：笔 %</t>
  </si>
  <si>
    <t>经办单位</t>
  </si>
  <si>
    <t>指标</t>
  </si>
  <si>
    <t>月办理业务数及所占比例（%）</t>
  </si>
  <si>
    <t>至当月累计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</si>
  <si>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</si>
  <si>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</si>
  <si>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</si>
  <si>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</si>
  <si>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</si>
  <si>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</si>
  <si>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</si>
  <si>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</si>
  <si>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</si>
  <si>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</si>
  <si>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</si>
  <si>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</si>
  <si>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工商银行</t>
  </si>
  <si>
    <t>办件数量</t>
  </si>
  <si>
    <t>占银行比</t>
  </si>
  <si>
    <t>占总量比</t>
  </si>
  <si>
    <t>农业银行</t>
  </si>
  <si>
    <t>建设银行</t>
  </si>
  <si>
    <t>丹东银行</t>
  </si>
  <si>
    <t>邮储银行</t>
  </si>
  <si>
    <t>大连银行</t>
  </si>
  <si>
    <t>18</t>
  </si>
  <si>
    <t>交通银行</t>
  </si>
  <si>
    <t>9</t>
  </si>
  <si>
    <t>14</t>
  </si>
  <si>
    <t>中国银行</t>
  </si>
  <si>
    <t>银行办件</t>
  </si>
  <si>
    <t>数量合计</t>
  </si>
  <si>
    <t>1027</t>
  </si>
  <si>
    <t>与上月比增减</t>
  </si>
  <si>
    <t>中心办件</t>
  </si>
  <si>
    <t>4.67</t>
  </si>
  <si>
    <t>办件总数合计</t>
  </si>
  <si>
    <t>填报时间：2026年1月5日</t>
  </si>
  <si>
    <t xml:space="preserve"> 表1.1</t>
  </si>
  <si>
    <t>市本级住房公积金柜台业务办理情况统计表</t>
  </si>
  <si>
    <t xml:space="preserve">                 统计月度： 2025年12月                               单位：笔 %</t>
  </si>
  <si>
    <t>网点名称</t>
  </si>
  <si>
    <t>月办理业务数量</t>
  </si>
  <si>
    <t>占地区比例及增减（%）</t>
  </si>
  <si>
    <t>年初至本月累计</t>
  </si>
  <si>
    <t>备注</t>
  </si>
  <si>
    <t>归集</t>
  </si>
  <si>
    <t>提取</t>
  </si>
  <si>
    <t>贷款</t>
  </si>
  <si>
    <t>贷后</t>
  </si>
  <si>
    <t>合计</t>
  </si>
  <si>
    <t>占地区比</t>
  </si>
  <si>
    <t>比上月增减</t>
  </si>
  <si>
    <t>数量</t>
  </si>
  <si>
    <t>中心</t>
  </si>
  <si>
    <t>公积金大厅</t>
  </si>
  <si>
    <t>6.47%</t>
  </si>
  <si>
    <t>银行网点</t>
  </si>
  <si>
    <t>工行锦山支行</t>
  </si>
  <si>
    <t>工行元宝支行</t>
  </si>
  <si>
    <t>农行振兴支行</t>
  </si>
  <si>
    <t>农行鸭绿江支行</t>
  </si>
  <si>
    <t>农行锦绣支行</t>
  </si>
  <si>
    <t>建行振兴支行</t>
  </si>
  <si>
    <t>丹行新桥支行</t>
  </si>
  <si>
    <t>1.27%</t>
  </si>
  <si>
    <t>小计</t>
  </si>
  <si>
    <t>21973</t>
  </si>
  <si>
    <t xml:space="preserve">   填报日期：2026年1月5日</t>
  </si>
  <si>
    <t xml:space="preserve"> 表1.2</t>
  </si>
  <si>
    <t>东港住房公积金柜台业务办理情况统计表</t>
  </si>
  <si>
    <t xml:space="preserve">               统计月度： 2025年12月                           单位：笔 %</t>
  </si>
  <si>
    <t>东港分部</t>
  </si>
  <si>
    <t>工行东港支行</t>
  </si>
  <si>
    <t>农行东港支行</t>
  </si>
  <si>
    <t>建行东港支行</t>
  </si>
  <si>
    <t xml:space="preserve"> </t>
  </si>
  <si>
    <t xml:space="preserve"> 表1.3</t>
  </si>
  <si>
    <t>凤城住房公积金柜台业务办理情况统计表</t>
  </si>
  <si>
    <t>凤城分部</t>
  </si>
  <si>
    <t>工行凤城支行</t>
  </si>
  <si>
    <t>农行凤城支行</t>
  </si>
  <si>
    <t>建行凤城支行</t>
  </si>
  <si>
    <t xml:space="preserve"> 表1.4</t>
  </si>
  <si>
    <t>宽甸住房公积金柜台业务办理情况统计表</t>
  </si>
  <si>
    <t>宽甸分部</t>
  </si>
  <si>
    <t>工行宽甸支行</t>
  </si>
  <si>
    <t>农行宽甸支行</t>
  </si>
  <si>
    <t>建行宽甸支行</t>
  </si>
  <si>
    <t>住房公积金银行代办网点业务数量排名统计表</t>
  </si>
  <si>
    <t xml:space="preserve">                     统计月度：2025年12月                单位：笔 %</t>
  </si>
  <si>
    <t>12月办理业务数量</t>
  </si>
  <si>
    <t>排名</t>
  </si>
  <si>
    <t>年初至本月累计业务数量</t>
  </si>
  <si>
    <t>填报日期：2026年1月5日</t>
  </si>
  <si>
    <t>住房公积金柜台业务办理情况占比统计表</t>
  </si>
  <si>
    <t xml:space="preserve">                         统计月度： 2025年12月                 单位：笔 %</t>
  </si>
  <si>
    <t>归集业务</t>
  </si>
  <si>
    <t>提取业务</t>
  </si>
  <si>
    <t>贷款业务</t>
  </si>
  <si>
    <t>贷后业务</t>
  </si>
  <si>
    <t>当月业务合计</t>
  </si>
  <si>
    <t>办件合计</t>
  </si>
  <si>
    <r>
      <rPr>
        <sz val="11"/>
        <color theme="1"/>
        <rFont val="宋体"/>
        <charset val="134"/>
        <scheme val="minor"/>
      </rPr>
      <t>填报日期：202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年1月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日</t>
    </r>
  </si>
  <si>
    <t xml:space="preserve"> 各渠道复核业务来源统计</t>
  </si>
  <si>
    <t>查询日期：</t>
  </si>
  <si>
    <t>年  月</t>
  </si>
  <si>
    <t>主项</t>
  </si>
  <si>
    <t>业务事项名称</t>
  </si>
  <si>
    <t>服务渠道</t>
  </si>
  <si>
    <t>工作时间</t>
  </si>
  <si>
    <t>中午时间</t>
  </si>
  <si>
    <t>非工作时间</t>
  </si>
  <si>
    <t>柜面</t>
  </si>
  <si>
    <t>公积金12329</t>
  </si>
  <si>
    <t>自助终端</t>
  </si>
  <si>
    <t>网厅</t>
  </si>
  <si>
    <t>政务一件事</t>
  </si>
  <si>
    <t>智能机器人</t>
  </si>
  <si>
    <t>其他</t>
  </si>
  <si>
    <t>单位住房公积金缴存登记</t>
  </si>
  <si>
    <t>军转干缴存开户</t>
  </si>
  <si>
    <t>外部转入</t>
  </si>
  <si>
    <t>缴存人信息变更</t>
  </si>
  <si>
    <t>缴存人基数调整</t>
  </si>
  <si>
    <t>缴存人比例调整</t>
  </si>
  <si>
    <t>缴存人登记(网厅）</t>
  </si>
  <si>
    <t>灵活就业人员开户</t>
  </si>
  <si>
    <t>冲个人缴存</t>
  </si>
  <si>
    <t>个人账户合并</t>
  </si>
  <si>
    <t>缴存人托收</t>
  </si>
  <si>
    <t>缴存单位信息变更</t>
  </si>
  <si>
    <t>单位托收</t>
  </si>
  <si>
    <t>未分配金额转移</t>
  </si>
  <si>
    <t>缴存单位缓缴</t>
  </si>
  <si>
    <t>单位封存</t>
  </si>
  <si>
    <t>单位注销</t>
  </si>
  <si>
    <t>购买住房</t>
  </si>
  <si>
    <t>建造、翻建、大修住房</t>
  </si>
  <si>
    <t>离休、退休</t>
  </si>
  <si>
    <t>工作调动（外部转出）</t>
  </si>
  <si>
    <t>终止劳动关系提取</t>
  </si>
  <si>
    <t>出境定居提取</t>
  </si>
  <si>
    <t>偿还购房贷款本息</t>
  </si>
  <si>
    <t>大病医疗提取</t>
  </si>
  <si>
    <t>房租提取</t>
  </si>
  <si>
    <t>死亡提取</t>
  </si>
  <si>
    <t>其他（部分）</t>
  </si>
  <si>
    <t>其他（销户）</t>
  </si>
  <si>
    <t>贷款申请</t>
  </si>
  <si>
    <t>担保变更</t>
  </si>
  <si>
    <t>婚姻变更</t>
  </si>
  <si>
    <t>共同还款人变更</t>
  </si>
  <si>
    <t>贷款信息变更</t>
  </si>
  <si>
    <t>外中心人员修改</t>
  </si>
  <si>
    <t>执法</t>
  </si>
  <si>
    <t>冻结</t>
  </si>
  <si>
    <t>解冻</t>
  </si>
  <si>
    <t>法院执行部分提取</t>
  </si>
  <si>
    <t>法院执行销户提取</t>
  </si>
  <si>
    <t>业务量总计</t>
  </si>
  <si>
    <t xml:space="preserve"> 复核岗业务量统计</t>
  </si>
  <si>
    <t>李俊昌</t>
  </si>
  <si>
    <t>李阳</t>
  </si>
  <si>
    <t>张云伟</t>
  </si>
  <si>
    <t>王欣</t>
  </si>
  <si>
    <t>徐鹏</t>
  </si>
  <si>
    <t>胡梓娴</t>
  </si>
  <si>
    <t>总计</t>
  </si>
  <si>
    <t>归集业务总量</t>
  </si>
  <si>
    <t>占同类型业务比例</t>
  </si>
  <si>
    <t>提取业务总量</t>
  </si>
  <si>
    <t>贷款业务总量</t>
  </si>
  <si>
    <t>执法业务总量</t>
  </si>
  <si>
    <t>占总业务量比例</t>
  </si>
  <si>
    <t>归集业务种类</t>
  </si>
  <si>
    <t>提取业务种类</t>
  </si>
  <si>
    <t>贷款贷后业务种类</t>
  </si>
  <si>
    <t>汇缴核定</t>
  </si>
  <si>
    <t>购买住房提取</t>
  </si>
  <si>
    <t>缴存人补缴</t>
  </si>
  <si>
    <t>建造、翻建、大修住房提取</t>
  </si>
  <si>
    <t>柜台还款</t>
  </si>
  <si>
    <t>偿还购房贷款本息提取</t>
  </si>
  <si>
    <t>还款账号变更</t>
  </si>
  <si>
    <t>缴存人状态变更</t>
  </si>
  <si>
    <t>提前还本</t>
  </si>
  <si>
    <t>退未分配金额</t>
  </si>
  <si>
    <t>提前结清</t>
  </si>
  <si>
    <t>缴存人登记</t>
  </si>
  <si>
    <t>物业管理费提取</t>
  </si>
  <si>
    <t>签约对冲还贷</t>
  </si>
  <si>
    <t>其他（部分）提取</t>
  </si>
  <si>
    <t>期限变更</t>
  </si>
  <si>
    <t>缴存单位缓缴/解除</t>
  </si>
  <si>
    <t>离休、退休提取</t>
  </si>
  <si>
    <t>还款方式变更</t>
  </si>
  <si>
    <t>外部转出</t>
  </si>
  <si>
    <t>其他（销户）提取</t>
  </si>
  <si>
    <t>柜台提前还款</t>
  </si>
  <si>
    <t>商贷报账</t>
  </si>
  <si>
    <t>贷款关联信息变更</t>
  </si>
  <si>
    <t>单位缴款账号登记</t>
  </si>
  <si>
    <t>本人同意办理提取销户</t>
  </si>
  <si>
    <t>担保解押</t>
  </si>
  <si>
    <t>缴存人单位调整</t>
  </si>
  <si>
    <t>购买住房首付款提取</t>
  </si>
  <si>
    <t>缴存人托收签约</t>
  </si>
  <si>
    <t>单位托收签约</t>
  </si>
  <si>
    <t>缴存单位封存/启封</t>
  </si>
  <si>
    <t>单位合并</t>
  </si>
  <si>
    <t>汇（补）缴分配</t>
  </si>
  <si>
    <t>军转干开户</t>
  </si>
  <si>
    <t>异地转移接续</t>
  </si>
  <si>
    <t>经办人变更</t>
  </si>
  <si>
    <t>账户管理</t>
  </si>
  <si>
    <t>缴存单位开户登记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</si>
</sst>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2"/>
      <color rgb="FF000000"/>
      <name val="宋体"/>
      <charset val="134"/>
    </font>
    <font>
      <b/>
      <sz val="16"/>
      <color rgb="FF000000"/>
      <name val="宋体"/>
      <charset val="134"/>
    </font>
    <font>
      <sz val="14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ajor"/>
    </font>
    <font>
      <sz val="22"/>
      <color theme="1"/>
      <name val="宋体"/>
      <charset val="134"/>
      <scheme val="major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0.5"/>
      <color theme="1"/>
      <name val="Times New Roman"/>
      <charset val="134"/>
    </font>
    <font>
      <b/>
      <sz val="18"/>
      <color theme="1"/>
      <name val="宋体"/>
      <charset val="134"/>
      <scheme val="major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3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36" applyNumberFormat="0" applyAlignment="0" applyProtection="0">
      <alignment vertical="center"/>
    </xf>
    <xf numFmtId="0" fontId="36" fillId="5" borderId="37" applyNumberFormat="0" applyAlignment="0" applyProtection="0">
      <alignment vertical="center"/>
    </xf>
    <xf numFmtId="0" fontId="37" fillId="5" borderId="36" applyNumberFormat="0" applyAlignment="0" applyProtection="0">
      <alignment vertical="center"/>
    </xf>
    <xf numFmtId="0" fontId="38" fillId="6" borderId="38" applyNumberFormat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vertical="center"/>
    </xf>
    <xf numFmtId="0" fontId="7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left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left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left" vertical="center" wrapText="1"/>
    </xf>
    <xf numFmtId="0" fontId="4" fillId="0" borderId="8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9" fillId="0" borderId="0" xfId="0" applyFont="1" applyBorder="1" applyAlignment="1">
      <alignment horizontal="center" vertical="center"/>
    </xf>
    <xf numFmtId="10" fontId="9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10" fontId="14" fillId="0" borderId="6" xfId="0" applyNumberFormat="1" applyFont="1" applyBorder="1" applyAlignment="1">
      <alignment horizontal="center" vertical="center"/>
    </xf>
    <xf numFmtId="10" fontId="0" fillId="0" borderId="16" xfId="0" applyNumberFormat="1" applyFont="1" applyBorder="1" applyAlignment="1">
      <alignment horizontal="center" vertical="center"/>
    </xf>
    <xf numFmtId="10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10" fontId="14" fillId="0" borderId="4" xfId="0" applyNumberFormat="1" applyFont="1" applyBorder="1" applyAlignment="1">
      <alignment horizontal="center" vertical="center"/>
    </xf>
    <xf numFmtId="10" fontId="14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22" xfId="0" applyNumberFormat="1" applyFont="1" applyBorder="1" applyAlignment="1">
      <alignment horizontal="center" vertical="center"/>
    </xf>
    <xf numFmtId="0" fontId="14" fillId="0" borderId="23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>
      <alignment vertical="center"/>
    </xf>
    <xf numFmtId="0" fontId="0" fillId="0" borderId="17" xfId="0" applyFont="1" applyBorder="1" applyAlignment="1">
      <alignment horizontal="center" vertical="center"/>
    </xf>
    <xf numFmtId="0" fontId="15" fillId="0" borderId="20" xfId="0" applyFont="1" applyBorder="1">
      <alignment vertical="center"/>
    </xf>
    <xf numFmtId="0" fontId="15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10" fontId="21" fillId="0" borderId="6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0" fontId="21" fillId="0" borderId="6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2" fontId="0" fillId="2" borderId="0" xfId="0" applyNumberFormat="1" applyFill="1" applyAlignment="1">
      <alignment horizontal="right"/>
    </xf>
    <xf numFmtId="0" fontId="0" fillId="2" borderId="0" xfId="0" applyFill="1" applyAlignment="1"/>
    <xf numFmtId="2" fontId="0" fillId="2" borderId="0" xfId="0" applyNumberFormat="1" applyFill="1" applyAlignment="1"/>
    <xf numFmtId="9" fontId="21" fillId="0" borderId="6" xfId="0" applyNumberFormat="1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21" fillId="2" borderId="2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justify" vertical="center"/>
    </xf>
    <xf numFmtId="0" fontId="11" fillId="0" borderId="0" xfId="0" applyFont="1">
      <alignment vertical="center"/>
    </xf>
    <xf numFmtId="49" fontId="21" fillId="0" borderId="6" xfId="0" applyNumberFormat="1" applyFont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10" fontId="21" fillId="0" borderId="4" xfId="0" applyNumberFormat="1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0" xfId="0" applyNumberFormat="1" applyFill="1" applyBorder="1">
      <alignment vertical="center"/>
    </xf>
    <xf numFmtId="0" fontId="1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10" fontId="25" fillId="0" borderId="6" xfId="0" applyNumberFormat="1" applyFont="1" applyBorder="1" applyAlignment="1">
      <alignment horizontal="center" vertical="center"/>
    </xf>
    <xf numFmtId="10" fontId="25" fillId="0" borderId="27" xfId="0" applyNumberFormat="1" applyFont="1" applyBorder="1" applyAlignment="1">
      <alignment horizontal="center" vertical="center"/>
    </xf>
    <xf numFmtId="10" fontId="25" fillId="0" borderId="16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5" fillId="0" borderId="6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0" fontId="25" fillId="0" borderId="27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 vertical="center"/>
    </xf>
    <xf numFmtId="0" fontId="25" fillId="0" borderId="16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left" vertical="center"/>
    </xf>
    <xf numFmtId="49" fontId="25" fillId="0" borderId="6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justify" vertical="center" wrapText="1"/>
    </xf>
    <xf numFmtId="0" fontId="26" fillId="0" borderId="6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workbookViewId="0">
      <selection activeCell="I13" sqref="I13"/>
    </sheetView>
  </sheetViews>
  <sheetFormatPr defaultColWidth="9" defaultRowHeight="13.5"/>
  <cols>
    <col min="2" max="2" width="12.25" customWidth="1"/>
    <col min="4" max="4" width="9.125" customWidth="1"/>
  </cols>
  <sheetData>
    <row r="1" ht="12" customHeight="1" spans="1:15">
      <c r="A1" s="144" t="s">
        <v>0</v>
      </c>
    </row>
    <row r="2" ht="18" customHeight="1" spans="1:1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ht="12.75" customHeight="1" spans="1:15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customHeight="1" spans="1:15">
      <c r="A4" s="146" t="s">
        <v>3</v>
      </c>
      <c r="B4" s="147" t="s">
        <v>4</v>
      </c>
      <c r="C4" s="147" t="s">
        <v>5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8" t="s">
        <v>6</v>
      </c>
    </row>
    <row r="5" ht="12" customHeight="1" spans="1:15">
      <c r="A5" s="149"/>
      <c r="B5" s="150"/>
      <c r="C5" s="151" t="s">
        <v>7</v>
      </c>
      <c r="D5" s="150" t="s">
        <v>8</v>
      </c>
      <c r="E5" s="150" t="s">
        <v>9</v>
      </c>
      <c r="F5" s="150" t="s">
        <v>10</v>
      </c>
      <c r="G5" s="150" t="s">
        <v>11</v>
      </c>
      <c r="H5" s="150" t="s">
        <v>12</v>
      </c>
      <c r="I5" s="150" t="s">
        <v>13</v>
      </c>
      <c r="J5" s="150" t="s">
        <v>14</v>
      </c>
      <c r="K5" s="150" t="s">
        <v>15</v>
      </c>
      <c r="L5" s="150" t="s">
        <v>16</v>
      </c>
      <c r="M5" s="150" t="s">
        <v>17</v>
      </c>
      <c r="N5" s="150" t="s">
        <v>18</v>
      </c>
      <c r="O5" s="152"/>
    </row>
    <row r="6" ht="15.75" customHeight="1" spans="1:15">
      <c r="A6" s="153" t="s">
        <v>19</v>
      </c>
      <c r="B6" s="154" t="s">
        <v>20</v>
      </c>
      <c r="C6" s="155">
        <v>648</v>
      </c>
      <c r="D6" s="156">
        <v>432</v>
      </c>
      <c r="E6" s="156">
        <v>575</v>
      </c>
      <c r="F6" s="156">
        <v>561</v>
      </c>
      <c r="G6" s="156">
        <v>445</v>
      </c>
      <c r="H6" s="156">
        <v>387</v>
      </c>
      <c r="I6" s="156">
        <v>526</v>
      </c>
      <c r="J6" s="156">
        <v>455</v>
      </c>
      <c r="K6" s="156">
        <v>446</v>
      </c>
      <c r="L6" s="156">
        <v>427</v>
      </c>
      <c r="M6" s="156">
        <v>466</v>
      </c>
      <c r="N6" s="156">
        <v>455</v>
      </c>
      <c r="O6" s="157">
        <f>C6+D6+E6+F6+G6+H6+I6+J6+K6+L6+M6+N6</f>
        <v>5823</v>
      </c>
    </row>
    <row r="7" ht="15.75" customHeight="1" spans="1:15">
      <c r="A7" s="153"/>
      <c r="B7" s="154" t="s">
        <v>21</v>
      </c>
      <c r="C7" s="158">
        <f t="shared" ref="C7:O7" si="0">C6/C30</f>
        <v>0.333161953727506</v>
      </c>
      <c r="D7" s="158">
        <f t="shared" si="0"/>
        <v>0.414587332053743</v>
      </c>
      <c r="E7" s="158">
        <f t="shared" si="0"/>
        <v>0.442307692307692</v>
      </c>
      <c r="F7" s="158">
        <f t="shared" si="0"/>
        <v>0.408</v>
      </c>
      <c r="G7" s="158">
        <f t="shared" si="0"/>
        <v>0.393805309734513</v>
      </c>
      <c r="H7" s="158">
        <f t="shared" si="0"/>
        <v>0.361344537815126</v>
      </c>
      <c r="I7" s="158">
        <f t="shared" si="0"/>
        <v>0.429387755102041</v>
      </c>
      <c r="J7" s="158">
        <f t="shared" si="0"/>
        <v>0.443037974683544</v>
      </c>
      <c r="K7" s="158">
        <f t="shared" si="0"/>
        <v>0.334583645911478</v>
      </c>
      <c r="L7" s="158">
        <f t="shared" si="0"/>
        <v>0.273717948717949</v>
      </c>
      <c r="M7" s="158">
        <f t="shared" si="0"/>
        <v>0.261650758001123</v>
      </c>
      <c r="N7" s="159">
        <f t="shared" si="0"/>
        <v>0.270350564468212</v>
      </c>
      <c r="O7" s="160">
        <f t="shared" si="0"/>
        <v>0.353508984944148</v>
      </c>
    </row>
    <row r="8" ht="15.75" customHeight="1" spans="1:15">
      <c r="A8" s="153"/>
      <c r="B8" s="154" t="s">
        <v>22</v>
      </c>
      <c r="C8" s="158">
        <f t="shared" ref="C8:O8" si="1">C6/C36</f>
        <v>0.158125915080527</v>
      </c>
      <c r="D8" s="158">
        <f t="shared" si="1"/>
        <v>0.175681171207808</v>
      </c>
      <c r="E8" s="158">
        <f t="shared" si="1"/>
        <v>0.208711433756806</v>
      </c>
      <c r="F8" s="158">
        <f t="shared" si="1"/>
        <v>0.19127173542448</v>
      </c>
      <c r="G8" s="158">
        <f t="shared" si="1"/>
        <v>0.1832784184514</v>
      </c>
      <c r="H8" s="158">
        <f t="shared" si="1"/>
        <v>0.18393536121673</v>
      </c>
      <c r="I8" s="158">
        <f t="shared" si="1"/>
        <v>0.207658902487169</v>
      </c>
      <c r="J8" s="158">
        <f t="shared" si="1"/>
        <v>0.209677419354839</v>
      </c>
      <c r="K8" s="158">
        <f t="shared" si="1"/>
        <v>0.181079983759643</v>
      </c>
      <c r="L8" s="158">
        <f t="shared" si="1"/>
        <v>0.17196939186468</v>
      </c>
      <c r="M8" s="158">
        <f t="shared" si="1"/>
        <v>0.165365507452094</v>
      </c>
      <c r="N8" s="159">
        <f t="shared" si="1"/>
        <v>0.165454545454545</v>
      </c>
      <c r="O8" s="160">
        <f t="shared" si="1"/>
        <v>0.182002875539164</v>
      </c>
    </row>
    <row r="9" ht="15.75" customHeight="1" spans="1:15">
      <c r="A9" s="153" t="s">
        <v>23</v>
      </c>
      <c r="B9" s="154" t="s">
        <v>20</v>
      </c>
      <c r="C9" s="155">
        <v>754</v>
      </c>
      <c r="D9" s="156">
        <v>304</v>
      </c>
      <c r="E9" s="156">
        <v>336</v>
      </c>
      <c r="F9" s="156">
        <v>363</v>
      </c>
      <c r="G9" s="156">
        <v>349</v>
      </c>
      <c r="H9" s="156">
        <v>295</v>
      </c>
      <c r="I9" s="156">
        <v>335</v>
      </c>
      <c r="J9" s="156">
        <v>267</v>
      </c>
      <c r="K9" s="156">
        <v>405</v>
      </c>
      <c r="L9" s="156">
        <v>376</v>
      </c>
      <c r="M9" s="156">
        <v>525</v>
      </c>
      <c r="N9" s="161">
        <v>519</v>
      </c>
      <c r="O9" s="157">
        <f>C9+D9+E9+F9+G9+H9+I9+J9+K9+L9+M9+N9</f>
        <v>4828</v>
      </c>
    </row>
    <row r="10" ht="15.75" customHeight="1" spans="1:15">
      <c r="A10" s="153"/>
      <c r="B10" s="154" t="s">
        <v>21</v>
      </c>
      <c r="C10" s="158">
        <f t="shared" ref="C10:O10" si="2">C9/C30</f>
        <v>0.387660668380463</v>
      </c>
      <c r="D10" s="158">
        <f t="shared" si="2"/>
        <v>0.291746641074856</v>
      </c>
      <c r="E10" s="158">
        <f t="shared" si="2"/>
        <v>0.258461538461538</v>
      </c>
      <c r="F10" s="158">
        <f t="shared" si="2"/>
        <v>0.264</v>
      </c>
      <c r="G10" s="158">
        <f t="shared" si="2"/>
        <v>0.308849557522124</v>
      </c>
      <c r="H10" s="158">
        <f t="shared" si="2"/>
        <v>0.275443510737628</v>
      </c>
      <c r="I10" s="158">
        <f t="shared" si="2"/>
        <v>0.273469387755102</v>
      </c>
      <c r="J10" s="158">
        <f t="shared" si="2"/>
        <v>0.259980525803311</v>
      </c>
      <c r="K10" s="158">
        <f t="shared" si="2"/>
        <v>0.303825956489122</v>
      </c>
      <c r="L10" s="158">
        <f t="shared" si="2"/>
        <v>0.241025641025641</v>
      </c>
      <c r="M10" s="158">
        <f t="shared" si="2"/>
        <v>0.294778214486244</v>
      </c>
      <c r="N10" s="159">
        <f t="shared" si="2"/>
        <v>0.308377896613191</v>
      </c>
      <c r="O10" s="160">
        <f t="shared" si="2"/>
        <v>0.293103448275862</v>
      </c>
    </row>
    <row r="11" ht="15.75" customHeight="1" spans="1:15">
      <c r="A11" s="153"/>
      <c r="B11" s="154" t="s">
        <v>22</v>
      </c>
      <c r="C11" s="158">
        <f t="shared" ref="C11:O11" si="3">C9/C36</f>
        <v>0.183992191312836</v>
      </c>
      <c r="D11" s="158">
        <f t="shared" si="3"/>
        <v>0.123627490849939</v>
      </c>
      <c r="E11" s="158">
        <f t="shared" si="3"/>
        <v>0.121960072595281</v>
      </c>
      <c r="F11" s="158">
        <f t="shared" si="3"/>
        <v>0.123764064098193</v>
      </c>
      <c r="G11" s="158">
        <f t="shared" si="3"/>
        <v>0.143739703459638</v>
      </c>
      <c r="H11" s="158">
        <f t="shared" si="3"/>
        <v>0.140209125475285</v>
      </c>
      <c r="I11" s="158">
        <f t="shared" si="3"/>
        <v>0.132254243979471</v>
      </c>
      <c r="J11" s="158">
        <f t="shared" si="3"/>
        <v>0.123041474654378</v>
      </c>
      <c r="K11" s="158">
        <f t="shared" si="3"/>
        <v>0.164433617539586</v>
      </c>
      <c r="L11" s="158">
        <f t="shared" si="3"/>
        <v>0.15142972211035</v>
      </c>
      <c r="M11" s="158">
        <f t="shared" si="3"/>
        <v>0.186302342086586</v>
      </c>
      <c r="N11" s="159">
        <f t="shared" si="3"/>
        <v>0.188727272727273</v>
      </c>
      <c r="O11" s="160">
        <f t="shared" si="3"/>
        <v>0.150903294367694</v>
      </c>
    </row>
    <row r="12" ht="15.75" customHeight="1" spans="1:15">
      <c r="A12" s="153" t="s">
        <v>24</v>
      </c>
      <c r="B12" s="154" t="s">
        <v>20</v>
      </c>
      <c r="C12" s="155">
        <v>339</v>
      </c>
      <c r="D12" s="156">
        <v>179</v>
      </c>
      <c r="E12" s="156">
        <v>223</v>
      </c>
      <c r="F12" s="156">
        <v>290</v>
      </c>
      <c r="G12" s="156">
        <v>167</v>
      </c>
      <c r="H12" s="156">
        <v>172</v>
      </c>
      <c r="I12" s="156">
        <v>200</v>
      </c>
      <c r="J12" s="156">
        <v>171</v>
      </c>
      <c r="K12" s="156">
        <v>186</v>
      </c>
      <c r="L12" s="156">
        <v>274</v>
      </c>
      <c r="M12" s="156">
        <v>168</v>
      </c>
      <c r="N12" s="161">
        <v>269</v>
      </c>
      <c r="O12" s="157">
        <f>C12+D12+E12+F12+G12+H12+I12+J12+K12+L12+M12+N12</f>
        <v>2638</v>
      </c>
    </row>
    <row r="13" ht="15.75" customHeight="1" spans="1:15">
      <c r="A13" s="153"/>
      <c r="B13" s="154" t="s">
        <v>21</v>
      </c>
      <c r="C13" s="158">
        <f t="shared" ref="C13:O13" si="4">C12/C30</f>
        <v>0.174293059125964</v>
      </c>
      <c r="D13" s="158">
        <f t="shared" si="4"/>
        <v>0.171785028790787</v>
      </c>
      <c r="E13" s="158">
        <f t="shared" si="4"/>
        <v>0.171538461538462</v>
      </c>
      <c r="F13" s="158">
        <f t="shared" si="4"/>
        <v>0.210909090909091</v>
      </c>
      <c r="G13" s="158">
        <f t="shared" si="4"/>
        <v>0.147787610619469</v>
      </c>
      <c r="H13" s="158">
        <f t="shared" si="4"/>
        <v>0.160597572362278</v>
      </c>
      <c r="I13" s="158">
        <f t="shared" si="4"/>
        <v>0.163265306122449</v>
      </c>
      <c r="J13" s="158">
        <f t="shared" si="4"/>
        <v>0.166504381694255</v>
      </c>
      <c r="K13" s="158">
        <f t="shared" si="4"/>
        <v>0.13953488372093</v>
      </c>
      <c r="L13" s="158">
        <f t="shared" si="4"/>
        <v>0.175641025641026</v>
      </c>
      <c r="M13" s="158">
        <f t="shared" si="4"/>
        <v>0.094329028635598</v>
      </c>
      <c r="N13" s="159">
        <f t="shared" si="4"/>
        <v>0.159833630421866</v>
      </c>
      <c r="O13" s="160">
        <f t="shared" si="4"/>
        <v>0.160150558523555</v>
      </c>
    </row>
    <row r="14" ht="15.75" customHeight="1" spans="1:15">
      <c r="A14" s="153"/>
      <c r="B14" s="154" t="s">
        <v>22</v>
      </c>
      <c r="C14" s="158">
        <f t="shared" ref="C14:O14" si="5">C12/C36</f>
        <v>0.0827232796486091</v>
      </c>
      <c r="D14" s="158">
        <f t="shared" si="5"/>
        <v>0.0727938186254575</v>
      </c>
      <c r="E14" s="158">
        <f t="shared" si="5"/>
        <v>0.0809437386569873</v>
      </c>
      <c r="F14" s="158">
        <f t="shared" si="5"/>
        <v>0.0988748721445619</v>
      </c>
      <c r="G14" s="158">
        <f t="shared" si="5"/>
        <v>0.0687808896210873</v>
      </c>
      <c r="H14" s="158">
        <f t="shared" si="5"/>
        <v>0.0817490494296578</v>
      </c>
      <c r="I14" s="158">
        <f t="shared" si="5"/>
        <v>0.0789577575996842</v>
      </c>
      <c r="J14" s="158">
        <f t="shared" si="5"/>
        <v>0.0788018433179724</v>
      </c>
      <c r="K14" s="158">
        <f t="shared" si="5"/>
        <v>0.0755176613885506</v>
      </c>
      <c r="L14" s="158">
        <f t="shared" si="5"/>
        <v>0.110350382601691</v>
      </c>
      <c r="M14" s="158">
        <f t="shared" si="5"/>
        <v>0.0596167494677076</v>
      </c>
      <c r="N14" s="159">
        <f t="shared" si="5"/>
        <v>0.0978181818181818</v>
      </c>
      <c r="O14" s="160">
        <f t="shared" si="5"/>
        <v>0.0824529599299869</v>
      </c>
    </row>
    <row r="15" ht="15.75" customHeight="1" spans="1:15">
      <c r="A15" s="153" t="s">
        <v>25</v>
      </c>
      <c r="B15" s="154" t="s">
        <v>20</v>
      </c>
      <c r="C15" s="155">
        <v>134</v>
      </c>
      <c r="D15" s="156">
        <v>92</v>
      </c>
      <c r="E15" s="156">
        <v>101</v>
      </c>
      <c r="F15" s="156">
        <v>100</v>
      </c>
      <c r="G15" s="156">
        <v>98</v>
      </c>
      <c r="H15" s="156">
        <v>75</v>
      </c>
      <c r="I15" s="156">
        <v>87</v>
      </c>
      <c r="J15" s="156">
        <v>57</v>
      </c>
      <c r="K15" s="156">
        <v>89</v>
      </c>
      <c r="L15" s="156">
        <v>144</v>
      </c>
      <c r="M15" s="156">
        <v>281</v>
      </c>
      <c r="N15" s="161">
        <v>89</v>
      </c>
      <c r="O15" s="157">
        <f>C15+D15+E15+F15+G15+H15+I15+J15+K15+L15+M15+N15</f>
        <v>1347</v>
      </c>
    </row>
    <row r="16" ht="15.75" customHeight="1" spans="1:15">
      <c r="A16" s="153"/>
      <c r="B16" s="154" t="s">
        <v>21</v>
      </c>
      <c r="C16" s="158">
        <f t="shared" ref="C16:O16" si="6">C15/C30</f>
        <v>0.0688946015424165</v>
      </c>
      <c r="D16" s="158">
        <f t="shared" si="6"/>
        <v>0.0882917466410748</v>
      </c>
      <c r="E16" s="158">
        <f t="shared" si="6"/>
        <v>0.0776923076923077</v>
      </c>
      <c r="F16" s="158">
        <f t="shared" si="6"/>
        <v>0.0727272727272727</v>
      </c>
      <c r="G16" s="158">
        <f t="shared" si="6"/>
        <v>0.0867256637168142</v>
      </c>
      <c r="H16" s="158">
        <f t="shared" si="6"/>
        <v>0.0700280112044818</v>
      </c>
      <c r="I16" s="158">
        <f t="shared" si="6"/>
        <v>0.0710204081632653</v>
      </c>
      <c r="J16" s="158">
        <f t="shared" si="6"/>
        <v>0.0555014605647517</v>
      </c>
      <c r="K16" s="158">
        <f t="shared" si="6"/>
        <v>0.0667666916729182</v>
      </c>
      <c r="L16" s="158">
        <f t="shared" si="6"/>
        <v>0.0923076923076923</v>
      </c>
      <c r="M16" s="158">
        <f t="shared" si="6"/>
        <v>0.157776530039304</v>
      </c>
      <c r="N16" s="159">
        <f t="shared" si="6"/>
        <v>0.0528817587641117</v>
      </c>
      <c r="O16" s="160">
        <f t="shared" si="6"/>
        <v>0.0817751335599806</v>
      </c>
    </row>
    <row r="17" ht="15.75" customHeight="1" spans="1:15">
      <c r="A17" s="153"/>
      <c r="B17" s="154" t="s">
        <v>22</v>
      </c>
      <c r="C17" s="158">
        <f t="shared" ref="C17:O17" si="7">C15/C36</f>
        <v>0.0326988775012201</v>
      </c>
      <c r="D17" s="158">
        <f t="shared" si="7"/>
        <v>0.0374135827572184</v>
      </c>
      <c r="E17" s="158">
        <f t="shared" si="7"/>
        <v>0.0366606170598911</v>
      </c>
      <c r="F17" s="158">
        <f t="shared" si="7"/>
        <v>0.0340947834981248</v>
      </c>
      <c r="G17" s="158">
        <f t="shared" si="7"/>
        <v>0.0403624382207578</v>
      </c>
      <c r="H17" s="158">
        <f t="shared" si="7"/>
        <v>0.0356463878326996</v>
      </c>
      <c r="I17" s="158">
        <f t="shared" si="7"/>
        <v>0.0343466245558626</v>
      </c>
      <c r="J17" s="158">
        <f t="shared" si="7"/>
        <v>0.0262672811059908</v>
      </c>
      <c r="K17" s="158">
        <f t="shared" si="7"/>
        <v>0.0361347949654892</v>
      </c>
      <c r="L17" s="158">
        <f t="shared" si="7"/>
        <v>0.0579943616592831</v>
      </c>
      <c r="M17" s="158">
        <f t="shared" si="7"/>
        <v>0.0997161107168204</v>
      </c>
      <c r="N17" s="159">
        <f t="shared" si="7"/>
        <v>0.0323636363636364</v>
      </c>
      <c r="O17" s="160">
        <f t="shared" si="7"/>
        <v>0.0421016440582609</v>
      </c>
    </row>
    <row r="18" ht="15.75" customHeight="1" spans="1:15">
      <c r="A18" s="153" t="s">
        <v>26</v>
      </c>
      <c r="B18" s="154" t="s">
        <v>20</v>
      </c>
      <c r="C18" s="155">
        <v>46</v>
      </c>
      <c r="D18" s="156">
        <v>20</v>
      </c>
      <c r="E18" s="156">
        <v>43</v>
      </c>
      <c r="F18" s="156">
        <v>36</v>
      </c>
      <c r="G18" s="156">
        <v>43</v>
      </c>
      <c r="H18" s="156">
        <v>29</v>
      </c>
      <c r="I18" s="156">
        <v>37</v>
      </c>
      <c r="J18" s="156">
        <v>36</v>
      </c>
      <c r="K18" s="156">
        <v>104</v>
      </c>
      <c r="L18" s="156">
        <v>157</v>
      </c>
      <c r="M18" s="156">
        <v>26</v>
      </c>
      <c r="N18" s="161">
        <v>48</v>
      </c>
      <c r="O18" s="157">
        <f>C18+D18+E18+F18+G18+H18+I18+J18+K18+L18+M18+N18</f>
        <v>625</v>
      </c>
    </row>
    <row r="19" ht="15.75" customHeight="1" spans="1:15">
      <c r="A19" s="153"/>
      <c r="B19" s="154" t="s">
        <v>21</v>
      </c>
      <c r="C19" s="158">
        <f t="shared" ref="C19:O19" si="8">C18/C30</f>
        <v>0.0236503856041131</v>
      </c>
      <c r="D19" s="158">
        <f t="shared" si="8"/>
        <v>0.0191938579654511</v>
      </c>
      <c r="E19" s="158">
        <f t="shared" si="8"/>
        <v>0.0330769230769231</v>
      </c>
      <c r="F19" s="158">
        <f t="shared" si="8"/>
        <v>0.0261818181818182</v>
      </c>
      <c r="G19" s="158">
        <f t="shared" si="8"/>
        <v>0.0380530973451327</v>
      </c>
      <c r="H19" s="158">
        <f t="shared" si="8"/>
        <v>0.027077497665733</v>
      </c>
      <c r="I19" s="158">
        <f t="shared" si="8"/>
        <v>0.0302040816326531</v>
      </c>
      <c r="J19" s="158">
        <f t="shared" si="8"/>
        <v>0.0350535540408958</v>
      </c>
      <c r="K19" s="158">
        <f t="shared" si="8"/>
        <v>0.0780195048762191</v>
      </c>
      <c r="L19" s="158">
        <f t="shared" si="8"/>
        <v>0.100641025641026</v>
      </c>
      <c r="M19" s="158">
        <f t="shared" si="8"/>
        <v>0.0145985401459854</v>
      </c>
      <c r="N19" s="159">
        <f t="shared" si="8"/>
        <v>0.0285204991087344</v>
      </c>
      <c r="O19" s="160">
        <f t="shared" si="8"/>
        <v>0.0379431762991744</v>
      </c>
    </row>
    <row r="20" ht="15.75" customHeight="1" spans="1:15">
      <c r="A20" s="153"/>
      <c r="B20" s="154" t="s">
        <v>22</v>
      </c>
      <c r="C20" s="158">
        <f t="shared" ref="C20:O20" si="9">C18/C36</f>
        <v>0.0112249877989263</v>
      </c>
      <c r="D20" s="158">
        <f t="shared" si="9"/>
        <v>0.00813338755591704</v>
      </c>
      <c r="E20" s="158">
        <f t="shared" si="9"/>
        <v>0.0156079854809437</v>
      </c>
      <c r="F20" s="158">
        <f t="shared" si="9"/>
        <v>0.0122741220593249</v>
      </c>
      <c r="G20" s="158">
        <f t="shared" si="9"/>
        <v>0.0177100494233937</v>
      </c>
      <c r="H20" s="158">
        <f t="shared" si="9"/>
        <v>0.0137832699619772</v>
      </c>
      <c r="I20" s="158">
        <f t="shared" si="9"/>
        <v>0.0146071851559416</v>
      </c>
      <c r="J20" s="158">
        <f t="shared" si="9"/>
        <v>0.0165898617511521</v>
      </c>
      <c r="K20" s="158">
        <f t="shared" si="9"/>
        <v>0.0422249289484369</v>
      </c>
      <c r="L20" s="158">
        <f t="shared" si="9"/>
        <v>0.063229963753524</v>
      </c>
      <c r="M20" s="158">
        <f t="shared" si="9"/>
        <v>0.0092264017033357</v>
      </c>
      <c r="N20" s="159">
        <f t="shared" si="9"/>
        <v>0.0174545454545455</v>
      </c>
      <c r="O20" s="160">
        <f t="shared" si="9"/>
        <v>0.0195349127961493</v>
      </c>
    </row>
    <row r="21" ht="15.75" customHeight="1" spans="1:15">
      <c r="A21" s="162" t="s">
        <v>27</v>
      </c>
      <c r="B21" s="154" t="s">
        <v>20</v>
      </c>
      <c r="C21" s="155">
        <v>12</v>
      </c>
      <c r="D21" s="156">
        <v>10</v>
      </c>
      <c r="E21" s="156">
        <v>15</v>
      </c>
      <c r="F21" s="163">
        <v>24</v>
      </c>
      <c r="G21" s="164" t="s">
        <v>28</v>
      </c>
      <c r="H21" s="163">
        <v>90</v>
      </c>
      <c r="I21" s="163">
        <v>12</v>
      </c>
      <c r="J21" s="163">
        <v>8</v>
      </c>
      <c r="K21" s="163">
        <v>63</v>
      </c>
      <c r="L21" s="156">
        <v>19</v>
      </c>
      <c r="M21" s="156">
        <v>14</v>
      </c>
      <c r="N21" s="165">
        <v>37</v>
      </c>
      <c r="O21" s="157">
        <f>C21+D21+E21+F21+G21+H21+I21+J21+K21+L21+M21+N21</f>
        <v>322</v>
      </c>
    </row>
    <row r="22" ht="15.75" customHeight="1" spans="1:15">
      <c r="A22" s="166"/>
      <c r="B22" s="154" t="s">
        <v>21</v>
      </c>
      <c r="C22" s="158">
        <f t="shared" ref="C22:O22" si="10">C21/C30</f>
        <v>0.00616966580976864</v>
      </c>
      <c r="D22" s="158">
        <f t="shared" si="10"/>
        <v>0.00959692898272553</v>
      </c>
      <c r="E22" s="158">
        <f t="shared" si="10"/>
        <v>0.0115384615384615</v>
      </c>
      <c r="F22" s="158">
        <f t="shared" si="10"/>
        <v>0.0174545454545455</v>
      </c>
      <c r="G22" s="158">
        <f t="shared" si="10"/>
        <v>0.015929203539823</v>
      </c>
      <c r="H22" s="158">
        <f t="shared" si="10"/>
        <v>0.0840336134453782</v>
      </c>
      <c r="I22" s="158">
        <f t="shared" si="10"/>
        <v>0.00979591836734694</v>
      </c>
      <c r="J22" s="158">
        <f t="shared" si="10"/>
        <v>0.00778967867575463</v>
      </c>
      <c r="K22" s="158">
        <f t="shared" si="10"/>
        <v>0.0472618154538635</v>
      </c>
      <c r="L22" s="158">
        <f t="shared" si="10"/>
        <v>0.0121794871794872</v>
      </c>
      <c r="M22" s="158">
        <f t="shared" si="10"/>
        <v>0.00786075238629983</v>
      </c>
      <c r="N22" s="159">
        <f t="shared" si="10"/>
        <v>0.0219845513963161</v>
      </c>
      <c r="O22" s="160">
        <f t="shared" si="10"/>
        <v>0.0195483244293346</v>
      </c>
    </row>
    <row r="23" ht="15.75" customHeight="1" spans="1:15">
      <c r="A23" s="167"/>
      <c r="B23" s="154" t="s">
        <v>22</v>
      </c>
      <c r="C23" s="158">
        <f t="shared" ref="C23:O23" si="11">C21/C36</f>
        <v>0.00292825768667643</v>
      </c>
      <c r="D23" s="158">
        <f t="shared" si="11"/>
        <v>0.00406669377795852</v>
      </c>
      <c r="E23" s="158">
        <f t="shared" si="11"/>
        <v>0.00544464609800363</v>
      </c>
      <c r="F23" s="158">
        <f t="shared" si="11"/>
        <v>0.00818274803954995</v>
      </c>
      <c r="G23" s="158">
        <f t="shared" si="11"/>
        <v>0.00741350906095552</v>
      </c>
      <c r="H23" s="158">
        <f t="shared" si="11"/>
        <v>0.0427756653992395</v>
      </c>
      <c r="I23" s="158">
        <f t="shared" si="11"/>
        <v>0.00473746545598105</v>
      </c>
      <c r="J23" s="158">
        <f t="shared" si="11"/>
        <v>0.00368663594470046</v>
      </c>
      <c r="K23" s="158">
        <f t="shared" si="11"/>
        <v>0.02557856272838</v>
      </c>
      <c r="L23" s="158">
        <f t="shared" si="11"/>
        <v>0.0076520338300443</v>
      </c>
      <c r="M23" s="158">
        <f t="shared" si="11"/>
        <v>0.0049680624556423</v>
      </c>
      <c r="N23" s="159">
        <f t="shared" si="11"/>
        <v>0.0134545454545455</v>
      </c>
      <c r="O23" s="160">
        <f t="shared" si="11"/>
        <v>0.0100643870725761</v>
      </c>
    </row>
    <row r="24" ht="15.75" customHeight="1" spans="1:15">
      <c r="A24" s="162" t="s">
        <v>29</v>
      </c>
      <c r="B24" s="154" t="s">
        <v>20</v>
      </c>
      <c r="C24" s="155">
        <v>12</v>
      </c>
      <c r="D24" s="163">
        <v>5</v>
      </c>
      <c r="E24" s="156">
        <v>7</v>
      </c>
      <c r="F24" s="163">
        <v>1</v>
      </c>
      <c r="G24" s="163">
        <v>10</v>
      </c>
      <c r="H24" s="163">
        <v>13</v>
      </c>
      <c r="I24" s="163">
        <v>14</v>
      </c>
      <c r="J24" s="164" t="s">
        <v>30</v>
      </c>
      <c r="K24" s="164" t="s">
        <v>31</v>
      </c>
      <c r="L24" s="156">
        <v>147</v>
      </c>
      <c r="M24" s="163">
        <v>284</v>
      </c>
      <c r="N24" s="165">
        <v>230</v>
      </c>
      <c r="O24" s="168">
        <f>C24+D24+E24+F24+G24+H24+I24+J24+K24+L24+M24+N24</f>
        <v>746</v>
      </c>
    </row>
    <row r="25" ht="15.75" customHeight="1" spans="1:15">
      <c r="A25" s="166"/>
      <c r="B25" s="154" t="s">
        <v>21</v>
      </c>
      <c r="C25" s="158">
        <f t="shared" ref="C25:O25" si="12">C24/C30</f>
        <v>0.00616966580976864</v>
      </c>
      <c r="D25" s="158">
        <f t="shared" si="12"/>
        <v>0.00479846449136276</v>
      </c>
      <c r="E25" s="158">
        <f t="shared" si="12"/>
        <v>0.00538461538461538</v>
      </c>
      <c r="F25" s="158">
        <f t="shared" si="12"/>
        <v>0.000727272727272727</v>
      </c>
      <c r="G25" s="158">
        <f t="shared" si="12"/>
        <v>0.00884955752212389</v>
      </c>
      <c r="H25" s="158">
        <f t="shared" si="12"/>
        <v>0.0121381886087768</v>
      </c>
      <c r="I25" s="158">
        <f t="shared" si="12"/>
        <v>0.0114285714285714</v>
      </c>
      <c r="J25" s="158">
        <f t="shared" si="12"/>
        <v>0.00876338851022395</v>
      </c>
      <c r="K25" s="158">
        <f t="shared" si="12"/>
        <v>0.0105026256564141</v>
      </c>
      <c r="L25" s="158">
        <f t="shared" si="12"/>
        <v>0.0942307692307692</v>
      </c>
      <c r="M25" s="158">
        <f t="shared" si="12"/>
        <v>0.159460976979225</v>
      </c>
      <c r="N25" s="159">
        <f t="shared" si="12"/>
        <v>0.136660724896019</v>
      </c>
      <c r="O25" s="160">
        <f t="shared" si="12"/>
        <v>0.0452889752306945</v>
      </c>
    </row>
    <row r="26" ht="15.75" customHeight="1" spans="1:15">
      <c r="A26" s="167"/>
      <c r="B26" s="154" t="s">
        <v>22</v>
      </c>
      <c r="C26" s="158">
        <f t="shared" ref="C26:O26" si="13">C24/C36</f>
        <v>0.00292825768667643</v>
      </c>
      <c r="D26" s="158">
        <f t="shared" si="13"/>
        <v>0.00203334688897926</v>
      </c>
      <c r="E26" s="158">
        <f t="shared" si="13"/>
        <v>0.00254083484573503</v>
      </c>
      <c r="F26" s="158">
        <f t="shared" si="13"/>
        <v>0.000340947834981248</v>
      </c>
      <c r="G26" s="158">
        <f t="shared" si="13"/>
        <v>0.00411861614497529</v>
      </c>
      <c r="H26" s="158">
        <f t="shared" si="13"/>
        <v>0.0061787072243346</v>
      </c>
      <c r="I26" s="158">
        <f t="shared" si="13"/>
        <v>0.00552704303197789</v>
      </c>
      <c r="J26" s="158">
        <f t="shared" si="13"/>
        <v>0.00414746543778802</v>
      </c>
      <c r="K26" s="158">
        <f t="shared" si="13"/>
        <v>0.00568412505075112</v>
      </c>
      <c r="L26" s="158">
        <f t="shared" si="13"/>
        <v>0.0592025775271849</v>
      </c>
      <c r="M26" s="158">
        <f t="shared" si="13"/>
        <v>0.100780695528744</v>
      </c>
      <c r="N26" s="159">
        <f t="shared" si="13"/>
        <v>0.0836363636363636</v>
      </c>
      <c r="O26" s="160">
        <f t="shared" si="13"/>
        <v>0.0233168719134838</v>
      </c>
    </row>
    <row r="27" ht="15.75" customHeight="1" spans="1:15">
      <c r="A27" s="162" t="s">
        <v>32</v>
      </c>
      <c r="B27" s="154" t="s">
        <v>20</v>
      </c>
      <c r="C27" s="158"/>
      <c r="D27" s="158"/>
      <c r="E27" s="158"/>
      <c r="F27" s="158"/>
      <c r="G27" s="158"/>
      <c r="H27" s="163">
        <v>10</v>
      </c>
      <c r="I27" s="163">
        <v>14</v>
      </c>
      <c r="J27" s="163">
        <v>24</v>
      </c>
      <c r="K27" s="163">
        <v>26</v>
      </c>
      <c r="L27" s="163">
        <v>16</v>
      </c>
      <c r="M27" s="163">
        <v>17</v>
      </c>
      <c r="N27" s="165">
        <v>36</v>
      </c>
      <c r="O27" s="169">
        <f>N27+M27+L27+K27+J27+I27+H27</f>
        <v>143</v>
      </c>
    </row>
    <row r="28" ht="15.75" customHeight="1" spans="1:15">
      <c r="A28" s="166"/>
      <c r="B28" s="154" t="s">
        <v>21</v>
      </c>
      <c r="C28" s="158"/>
      <c r="D28" s="158"/>
      <c r="E28" s="158"/>
      <c r="F28" s="158"/>
      <c r="G28" s="158"/>
      <c r="H28" s="158">
        <f t="shared" ref="H28:O28" si="14">H27/H30</f>
        <v>0.00933706816059757</v>
      </c>
      <c r="I28" s="158">
        <f t="shared" si="14"/>
        <v>0.0114285714285714</v>
      </c>
      <c r="J28" s="158">
        <f t="shared" si="14"/>
        <v>0.0233690360272639</v>
      </c>
      <c r="K28" s="158">
        <f t="shared" si="14"/>
        <v>0.0195048762190548</v>
      </c>
      <c r="L28" s="158">
        <f t="shared" si="14"/>
        <v>0.0102564102564103</v>
      </c>
      <c r="M28" s="158">
        <f t="shared" si="14"/>
        <v>0.00954519932622122</v>
      </c>
      <c r="N28" s="159">
        <f t="shared" si="14"/>
        <v>0.0213903743315508</v>
      </c>
      <c r="O28" s="160">
        <f t="shared" si="14"/>
        <v>0.00868139873725109</v>
      </c>
    </row>
    <row r="29" ht="15.75" customHeight="1" spans="1:15">
      <c r="A29" s="167"/>
      <c r="B29" s="154" t="s">
        <v>22</v>
      </c>
      <c r="C29" s="158"/>
      <c r="D29" s="158"/>
      <c r="E29" s="158"/>
      <c r="F29" s="158"/>
      <c r="G29" s="158"/>
      <c r="H29" s="158">
        <f t="shared" ref="H29:O29" si="15">H27/H36</f>
        <v>0.00475285171102662</v>
      </c>
      <c r="I29" s="158">
        <f t="shared" si="15"/>
        <v>0.00552704303197789</v>
      </c>
      <c r="J29" s="158">
        <f t="shared" si="15"/>
        <v>0.0110599078341014</v>
      </c>
      <c r="K29" s="158">
        <f t="shared" si="15"/>
        <v>0.0105562322371092</v>
      </c>
      <c r="L29" s="158">
        <f t="shared" si="15"/>
        <v>0.00644381796214257</v>
      </c>
      <c r="M29" s="158">
        <f t="shared" si="15"/>
        <v>0.00603264726756565</v>
      </c>
      <c r="N29" s="159">
        <f t="shared" si="15"/>
        <v>0.0130909090909091</v>
      </c>
      <c r="O29" s="160">
        <f t="shared" si="15"/>
        <v>0.00446958804775895</v>
      </c>
    </row>
    <row r="30" ht="15.75" customHeight="1" spans="1:15">
      <c r="A30" s="170" t="s">
        <v>33</v>
      </c>
      <c r="B30" s="154" t="s">
        <v>34</v>
      </c>
      <c r="C30" s="155">
        <f>C6+C9+C12+C15+C18+C21+C24</f>
        <v>1945</v>
      </c>
      <c r="D30" s="156">
        <f>D6+D9+D12+D15+D18+D21+D24</f>
        <v>1042</v>
      </c>
      <c r="E30" s="156">
        <f>E6+E9+E12+E15+E18+E21+E24</f>
        <v>1300</v>
      </c>
      <c r="F30" s="156">
        <v>1375</v>
      </c>
      <c r="G30" s="171">
        <f>G6+G9+G12+G15+G18+G21+G24</f>
        <v>1130</v>
      </c>
      <c r="H30" s="156">
        <v>1071</v>
      </c>
      <c r="I30" s="156">
        <f>I6+I9+I12+I15+I18+I21+I24+I27</f>
        <v>1225</v>
      </c>
      <c r="J30" s="171" t="s">
        <v>35</v>
      </c>
      <c r="K30" s="156">
        <v>1333</v>
      </c>
      <c r="L30" s="156">
        <f>L6+L9+L12+L15+L18+L21+L24+L27</f>
        <v>1560</v>
      </c>
      <c r="M30" s="156">
        <v>1781</v>
      </c>
      <c r="N30" s="161">
        <f>N6+N9+N12+N15+N18+N21+N24+N27</f>
        <v>1683</v>
      </c>
      <c r="O30" s="168">
        <f>C30+D30+E30+F30+G30+H30+I30+J30+K30+L30+M30+N30</f>
        <v>16472</v>
      </c>
    </row>
    <row r="31" ht="15.75" customHeight="1" spans="1:15">
      <c r="A31" s="170"/>
      <c r="B31" s="154" t="s">
        <v>22</v>
      </c>
      <c r="C31" s="158">
        <f t="shared" ref="C31:O31" si="16">C30/C36</f>
        <v>0.474621766715471</v>
      </c>
      <c r="D31" s="158">
        <f t="shared" si="16"/>
        <v>0.423749491663278</v>
      </c>
      <c r="E31" s="158">
        <f t="shared" si="16"/>
        <v>0.471869328493648</v>
      </c>
      <c r="F31" s="158">
        <f t="shared" si="16"/>
        <v>0.468803273099216</v>
      </c>
      <c r="G31" s="158">
        <f t="shared" si="16"/>
        <v>0.465403624382208</v>
      </c>
      <c r="H31" s="158">
        <f t="shared" si="16"/>
        <v>0.509030418250951</v>
      </c>
      <c r="I31" s="158">
        <f t="shared" si="16"/>
        <v>0.483616265298066</v>
      </c>
      <c r="J31" s="158">
        <f t="shared" si="16"/>
        <v>0.473271889400922</v>
      </c>
      <c r="K31" s="158">
        <f t="shared" si="16"/>
        <v>0.541209906617946</v>
      </c>
      <c r="L31" s="158">
        <f t="shared" si="16"/>
        <v>0.628272251308901</v>
      </c>
      <c r="M31" s="158">
        <f t="shared" si="16"/>
        <v>0.632008516678495</v>
      </c>
      <c r="N31" s="159">
        <f t="shared" si="16"/>
        <v>0.612</v>
      </c>
      <c r="O31" s="160">
        <f t="shared" si="16"/>
        <v>0.514846533725073</v>
      </c>
    </row>
    <row r="32" ht="15.75" customHeight="1" spans="1:15">
      <c r="A32" s="170"/>
      <c r="B32" s="172" t="s">
        <v>36</v>
      </c>
      <c r="C32" s="158">
        <v>-0.0467</v>
      </c>
      <c r="D32" s="158">
        <v>-0.0509</v>
      </c>
      <c r="E32" s="158">
        <v>0.0482</v>
      </c>
      <c r="F32" s="158">
        <v>-0.0031</v>
      </c>
      <c r="G32" s="158">
        <v>-0.0162</v>
      </c>
      <c r="H32" s="158">
        <v>0.0436</v>
      </c>
      <c r="I32" s="158">
        <v>-0.0254</v>
      </c>
      <c r="J32" s="158">
        <v>-0.0135</v>
      </c>
      <c r="K32" s="158">
        <v>0.0679</v>
      </c>
      <c r="L32" s="158">
        <v>0.0871</v>
      </c>
      <c r="M32" s="158">
        <v>0.0037</v>
      </c>
      <c r="N32" s="159">
        <v>-0.02</v>
      </c>
      <c r="O32" s="160"/>
    </row>
    <row r="33" ht="15.75" customHeight="1" spans="1:15">
      <c r="A33" s="170" t="s">
        <v>37</v>
      </c>
      <c r="B33" s="154" t="s">
        <v>34</v>
      </c>
      <c r="C33" s="155">
        <v>2153</v>
      </c>
      <c r="D33" s="156">
        <v>1417</v>
      </c>
      <c r="E33" s="156">
        <v>1455</v>
      </c>
      <c r="F33" s="156">
        <v>1558</v>
      </c>
      <c r="G33" s="156">
        <v>1298</v>
      </c>
      <c r="H33" s="156">
        <v>1033</v>
      </c>
      <c r="I33" s="156">
        <v>1308</v>
      </c>
      <c r="J33" s="156">
        <v>1143</v>
      </c>
      <c r="K33" s="156">
        <v>1130</v>
      </c>
      <c r="L33" s="156">
        <v>923</v>
      </c>
      <c r="M33" s="156">
        <v>1037</v>
      </c>
      <c r="N33" s="161">
        <v>1067</v>
      </c>
      <c r="O33" s="157">
        <f>C33+D33+E33+F33+G33+H33+I33+J33+K33+L33+M33+N33</f>
        <v>15522</v>
      </c>
    </row>
    <row r="34" ht="15.75" customHeight="1" spans="1:15">
      <c r="A34" s="170"/>
      <c r="B34" s="154" t="s">
        <v>22</v>
      </c>
      <c r="C34" s="158">
        <f t="shared" ref="C34:O34" si="17">C33/C36</f>
        <v>0.525378233284529</v>
      </c>
      <c r="D34" s="158">
        <f t="shared" si="17"/>
        <v>0.576250508336722</v>
      </c>
      <c r="E34" s="158">
        <f t="shared" si="17"/>
        <v>0.528130671506352</v>
      </c>
      <c r="F34" s="158">
        <f t="shared" si="17"/>
        <v>0.531196726900784</v>
      </c>
      <c r="G34" s="158">
        <f t="shared" si="17"/>
        <v>0.534596375617792</v>
      </c>
      <c r="H34" s="158">
        <f t="shared" si="17"/>
        <v>0.490969581749049</v>
      </c>
      <c r="I34" s="158">
        <f t="shared" si="17"/>
        <v>0.516383734701934</v>
      </c>
      <c r="J34" s="158">
        <f t="shared" si="17"/>
        <v>0.526728110599078</v>
      </c>
      <c r="K34" s="158">
        <f t="shared" si="17"/>
        <v>0.458790093382054</v>
      </c>
      <c r="L34" s="158">
        <f t="shared" si="17"/>
        <v>0.371727748691099</v>
      </c>
      <c r="M34" s="158">
        <f t="shared" si="17"/>
        <v>0.367991483321505</v>
      </c>
      <c r="N34" s="159">
        <f t="shared" si="17"/>
        <v>0.388</v>
      </c>
      <c r="O34" s="160">
        <f t="shared" si="17"/>
        <v>0.485153466274927</v>
      </c>
    </row>
    <row r="35" ht="15.75" customHeight="1" spans="1:15">
      <c r="A35" s="170"/>
      <c r="B35" s="173" t="s">
        <v>36</v>
      </c>
      <c r="C35" s="164" t="s">
        <v>38</v>
      </c>
      <c r="D35" s="158">
        <v>0.0509</v>
      </c>
      <c r="E35" s="158">
        <v>-0.0482</v>
      </c>
      <c r="F35" s="158">
        <v>0.0031</v>
      </c>
      <c r="G35" s="158">
        <v>0.0162</v>
      </c>
      <c r="H35" s="158">
        <v>-0.0436</v>
      </c>
      <c r="I35" s="158">
        <v>0.0254</v>
      </c>
      <c r="J35" s="158">
        <v>0.0135</v>
      </c>
      <c r="K35" s="158">
        <v>-0.0679</v>
      </c>
      <c r="L35" s="158">
        <v>-0.0871</v>
      </c>
      <c r="M35" s="158">
        <v>-0.0037</v>
      </c>
      <c r="N35" s="159">
        <v>0.02</v>
      </c>
      <c r="O35" s="168"/>
    </row>
    <row r="36" ht="15.75" customHeight="1" spans="1:15">
      <c r="A36" s="174" t="s">
        <v>39</v>
      </c>
      <c r="B36" s="175"/>
      <c r="C36" s="176">
        <f>C30+C33</f>
        <v>4098</v>
      </c>
      <c r="D36" s="177">
        <v>2459</v>
      </c>
      <c r="E36" s="177">
        <f>E30+E33</f>
        <v>2755</v>
      </c>
      <c r="F36" s="177">
        <v>2933</v>
      </c>
      <c r="G36" s="177">
        <v>2428</v>
      </c>
      <c r="H36" s="177">
        <v>2104</v>
      </c>
      <c r="I36" s="177">
        <v>2533</v>
      </c>
      <c r="J36" s="177">
        <v>2170</v>
      </c>
      <c r="K36" s="177">
        <v>2463</v>
      </c>
      <c r="L36" s="177">
        <v>2483</v>
      </c>
      <c r="M36" s="177">
        <v>2818</v>
      </c>
      <c r="N36" s="177">
        <v>2750</v>
      </c>
      <c r="O36" s="178">
        <f>C36+D36+E36+F36+G36+H36+I36+J36+K36+L36+M36+N36</f>
        <v>31994</v>
      </c>
    </row>
    <row r="37" ht="14.25" spans="1:15">
      <c r="M37" s="141" t="s">
        <v>40</v>
      </c>
      <c r="N37" s="141"/>
      <c r="O37" s="141"/>
    </row>
  </sheetData>
  <mergeCells count="18">
    <mergeCell ref="A2:O2"/>
    <mergeCell ref="A3:O3"/>
    <mergeCell ref="C4:N4"/>
    <mergeCell ref="A36:B36"/>
    <mergeCell ref="M37:O37"/>
    <mergeCell ref="A4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B4:B5"/>
    <mergeCell ref="O4:O5"/>
  </mergeCells>
  <pageMargins left="0.58" right="0.42" top="0.17" bottom="0.16" header="0.17" footer="0.1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A2" sqref="A2:L20"/>
    </sheetView>
  </sheetViews>
  <sheetFormatPr defaultColWidth="9" defaultRowHeight="13.5"/>
  <cols>
    <col min="1" max="1" width="11" customWidth="1"/>
    <col min="2" max="2" width="16.5" customWidth="1"/>
    <col min="3" max="3" width="9.75" customWidth="1"/>
    <col min="4" max="4" width="9.625" customWidth="1"/>
    <col min="5" max="5" width="9.375" customWidth="1"/>
    <col min="6" max="6" width="9.5" customWidth="1"/>
    <col min="7" max="7" width="9.625" customWidth="1"/>
    <col min="8" max="8" width="12.875" customWidth="1"/>
    <col min="9" max="9" width="13.5" customWidth="1"/>
    <col min="10" max="10" width="10.5" customWidth="1"/>
    <col min="11" max="11" width="11" customWidth="1"/>
    <col min="12" max="12" width="10.375" customWidth="1"/>
  </cols>
  <sheetData>
    <row r="1" ht="14.25" customHeight="1" spans="1:15">
      <c r="A1" s="128" t="s">
        <v>41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ht="24.75" customHeight="1" spans="1:15">
      <c r="A2" s="101" t="s">
        <v>42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ht="19.5" customHeight="1" spans="1:15">
      <c r="A3" s="53" t="s">
        <v>43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ht="27" customHeight="1" spans="1:15">
      <c r="A4" s="102" t="s">
        <v>44</v>
      </c>
      <c r="B4" s="103"/>
      <c r="C4" s="103" t="s">
        <v>45</v>
      </c>
      <c r="D4" s="103"/>
      <c r="E4" s="103"/>
      <c r="F4" s="103"/>
      <c r="G4" s="103"/>
      <c r="H4" s="103" t="s">
        <v>46</v>
      </c>
      <c r="I4" s="103"/>
      <c r="J4" s="103" t="s">
        <v>47</v>
      </c>
      <c r="K4" s="103"/>
      <c r="L4" s="104" t="s">
        <v>48</v>
      </c>
    </row>
    <row r="5" ht="27" customHeight="1" spans="1:15">
      <c r="A5" s="105"/>
      <c r="B5" s="106"/>
      <c r="C5" s="106" t="s">
        <v>49</v>
      </c>
      <c r="D5" s="106" t="s">
        <v>50</v>
      </c>
      <c r="E5" s="106" t="s">
        <v>51</v>
      </c>
      <c r="F5" s="106" t="s">
        <v>52</v>
      </c>
      <c r="G5" s="106" t="s">
        <v>53</v>
      </c>
      <c r="H5" s="106" t="s">
        <v>54</v>
      </c>
      <c r="I5" s="106" t="s">
        <v>55</v>
      </c>
      <c r="J5" s="106" t="s">
        <v>56</v>
      </c>
      <c r="K5" s="106" t="s">
        <v>54</v>
      </c>
      <c r="L5" s="107"/>
    </row>
    <row r="6" ht="27" customHeight="1" spans="1:15">
      <c r="A6" s="108" t="s">
        <v>57</v>
      </c>
      <c r="B6" s="109" t="s">
        <v>58</v>
      </c>
      <c r="C6" s="61">
        <v>209</v>
      </c>
      <c r="D6" s="61">
        <v>342</v>
      </c>
      <c r="E6" s="61">
        <v>34</v>
      </c>
      <c r="F6" s="61">
        <v>120</v>
      </c>
      <c r="G6" s="61">
        <v>705</v>
      </c>
      <c r="H6" s="110">
        <f>G6/G19</f>
        <v>0.386725178277564</v>
      </c>
      <c r="I6" s="129" t="s">
        <v>59</v>
      </c>
      <c r="J6" s="61">
        <v>11637</v>
      </c>
      <c r="K6" s="110">
        <f>J6/J19</f>
        <v>0.529604514631593</v>
      </c>
      <c r="L6" s="111"/>
      <c r="O6" s="130"/>
    </row>
    <row r="7" ht="27" customHeight="1" spans="1:15">
      <c r="A7" s="131" t="s">
        <v>60</v>
      </c>
      <c r="B7" s="109" t="s">
        <v>61</v>
      </c>
      <c r="C7" s="61">
        <v>27</v>
      </c>
      <c r="D7" s="61">
        <v>68</v>
      </c>
      <c r="E7" s="61">
        <v>8</v>
      </c>
      <c r="F7" s="61">
        <v>11</v>
      </c>
      <c r="G7" s="61">
        <v>114</v>
      </c>
      <c r="H7" s="110">
        <f>G7/G19</f>
        <v>0.0625342841470104</v>
      </c>
      <c r="I7" s="110">
        <v>0.0121</v>
      </c>
      <c r="J7" s="61">
        <v>1587</v>
      </c>
      <c r="K7" s="110">
        <f>J7/J19</f>
        <v>0.0722250034132799</v>
      </c>
      <c r="L7" s="111"/>
      <c r="O7" s="130"/>
    </row>
    <row r="8" ht="27" customHeight="1" spans="1:15">
      <c r="A8" s="132"/>
      <c r="B8" s="109" t="s">
        <v>62</v>
      </c>
      <c r="C8" s="61">
        <v>35</v>
      </c>
      <c r="D8" s="61">
        <v>62</v>
      </c>
      <c r="E8" s="61">
        <v>0</v>
      </c>
      <c r="F8" s="61">
        <v>3</v>
      </c>
      <c r="G8" s="61">
        <v>100</v>
      </c>
      <c r="H8" s="110">
        <f>G8/G19</f>
        <v>0.0548546352166758</v>
      </c>
      <c r="I8" s="110">
        <v>0.0121</v>
      </c>
      <c r="J8" s="61">
        <v>1205</v>
      </c>
      <c r="K8" s="110">
        <f>J8/J19</f>
        <v>0.0548400309470714</v>
      </c>
      <c r="L8" s="111"/>
      <c r="O8" s="130"/>
    </row>
    <row r="9" ht="27" customHeight="1" spans="1:15">
      <c r="A9" s="132"/>
      <c r="B9" s="109" t="s">
        <v>63</v>
      </c>
      <c r="C9" s="61">
        <v>82</v>
      </c>
      <c r="D9" s="61">
        <v>161</v>
      </c>
      <c r="E9" s="61">
        <v>14</v>
      </c>
      <c r="F9" s="61">
        <v>28</v>
      </c>
      <c r="G9" s="61">
        <f>SUM(C9:F9)</f>
        <v>285</v>
      </c>
      <c r="H9" s="110">
        <f>G9/G19</f>
        <v>0.156335710367526</v>
      </c>
      <c r="I9" s="110">
        <v>-0.0193</v>
      </c>
      <c r="J9" s="61">
        <v>2243</v>
      </c>
      <c r="K9" s="110">
        <f>J9/J19</f>
        <v>0.102079825240067</v>
      </c>
      <c r="L9" s="111"/>
      <c r="O9" s="130"/>
    </row>
    <row r="10" ht="27" customHeight="1" spans="1:15">
      <c r="A10" s="132"/>
      <c r="B10" s="109" t="s">
        <v>64</v>
      </c>
      <c r="C10" s="61">
        <v>19</v>
      </c>
      <c r="D10" s="61">
        <v>28</v>
      </c>
      <c r="E10" s="61">
        <v>0</v>
      </c>
      <c r="F10" s="61">
        <v>4</v>
      </c>
      <c r="G10" s="61">
        <v>51</v>
      </c>
      <c r="H10" s="110">
        <f>G10/G19</f>
        <v>0.0279758639605047</v>
      </c>
      <c r="I10" s="110">
        <v>-0.0024</v>
      </c>
      <c r="J10" s="61">
        <v>631</v>
      </c>
      <c r="K10" s="110">
        <f>J10/J19</f>
        <v>0.0287170618486324</v>
      </c>
      <c r="L10" s="111"/>
      <c r="O10" s="130"/>
    </row>
    <row r="11" ht="27" customHeight="1" spans="1:15">
      <c r="A11" s="132"/>
      <c r="B11" s="109" t="s">
        <v>65</v>
      </c>
      <c r="C11" s="61">
        <v>7</v>
      </c>
      <c r="D11" s="61">
        <v>28</v>
      </c>
      <c r="E11" s="61">
        <v>0</v>
      </c>
      <c r="F11" s="61">
        <v>0</v>
      </c>
      <c r="G11" s="61">
        <v>35</v>
      </c>
      <c r="H11" s="110">
        <f>G11/G19</f>
        <v>0.0191991223258365</v>
      </c>
      <c r="I11" s="110">
        <v>0.0122</v>
      </c>
      <c r="J11" s="61">
        <v>395</v>
      </c>
      <c r="K11" s="110">
        <f>J11/J19</f>
        <v>0.0179766076548491</v>
      </c>
      <c r="L11" s="111"/>
      <c r="O11" s="130"/>
    </row>
    <row r="12" ht="27" customHeight="1" spans="1:15">
      <c r="A12" s="132"/>
      <c r="B12" s="109" t="s">
        <v>66</v>
      </c>
      <c r="C12" s="61">
        <v>38</v>
      </c>
      <c r="D12" s="61">
        <v>34</v>
      </c>
      <c r="E12" s="61">
        <v>0</v>
      </c>
      <c r="F12" s="61">
        <v>21</v>
      </c>
      <c r="G12" s="61">
        <f>SUM(C12:F12)</f>
        <v>93</v>
      </c>
      <c r="H12" s="110">
        <f>G12/G19</f>
        <v>0.0510148107515085</v>
      </c>
      <c r="I12" s="110">
        <v>0.0163</v>
      </c>
      <c r="J12" s="61">
        <v>1092</v>
      </c>
      <c r="K12" s="110">
        <f>J12/J19</f>
        <v>0.0496973558458108</v>
      </c>
      <c r="L12" s="111"/>
      <c r="O12" s="130"/>
    </row>
    <row r="13" ht="27" customHeight="1" spans="1:15">
      <c r="A13" s="132"/>
      <c r="B13" s="109" t="s">
        <v>26</v>
      </c>
      <c r="C13" s="61">
        <v>4</v>
      </c>
      <c r="D13" s="61">
        <v>44</v>
      </c>
      <c r="E13" s="61">
        <v>0</v>
      </c>
      <c r="F13" s="61">
        <v>0</v>
      </c>
      <c r="G13" s="61">
        <v>48</v>
      </c>
      <c r="H13" s="110">
        <f>G13/G19</f>
        <v>0.0263302249040044</v>
      </c>
      <c r="I13" s="110">
        <v>0.0122</v>
      </c>
      <c r="J13" s="61">
        <v>625</v>
      </c>
      <c r="K13" s="110">
        <f>J13/J19</f>
        <v>0.0284439994538752</v>
      </c>
      <c r="L13" s="111"/>
      <c r="O13" s="130"/>
    </row>
    <row r="14" ht="27" customHeight="1" spans="1:15">
      <c r="A14" s="132"/>
      <c r="B14" s="109" t="s">
        <v>67</v>
      </c>
      <c r="C14" s="61">
        <v>46</v>
      </c>
      <c r="D14" s="61">
        <v>41</v>
      </c>
      <c r="E14" s="61">
        <v>0</v>
      </c>
      <c r="F14" s="61">
        <v>2</v>
      </c>
      <c r="G14" s="61">
        <v>89</v>
      </c>
      <c r="H14" s="110">
        <f>G14/G19</f>
        <v>0.0488206253428415</v>
      </c>
      <c r="I14" s="110">
        <v>-0.1035</v>
      </c>
      <c r="J14" s="61">
        <v>1347</v>
      </c>
      <c r="K14" s="110">
        <f>J14/J19</f>
        <v>0.0613025076229919</v>
      </c>
      <c r="L14" s="111"/>
      <c r="O14" s="130"/>
    </row>
    <row r="15" ht="27" customHeight="1" spans="1:15">
      <c r="A15" s="132"/>
      <c r="B15" s="109" t="s">
        <v>27</v>
      </c>
      <c r="C15" s="61">
        <v>3</v>
      </c>
      <c r="D15" s="61">
        <v>32</v>
      </c>
      <c r="E15" s="61">
        <v>1</v>
      </c>
      <c r="F15" s="61">
        <v>1</v>
      </c>
      <c r="G15" s="61">
        <v>37</v>
      </c>
      <c r="H15" s="110">
        <f>G15/G19</f>
        <v>0.02029621503017</v>
      </c>
      <c r="I15" s="129" t="s">
        <v>68</v>
      </c>
      <c r="J15" s="61">
        <v>322</v>
      </c>
      <c r="K15" s="110">
        <f>J15/J19</f>
        <v>0.0146543485186365</v>
      </c>
      <c r="L15" s="111"/>
      <c r="O15" s="130"/>
    </row>
    <row r="16" ht="27" customHeight="1" spans="1:15">
      <c r="A16" s="132"/>
      <c r="B16" s="109" t="s">
        <v>29</v>
      </c>
      <c r="C16" s="61">
        <v>34</v>
      </c>
      <c r="D16" s="61">
        <v>140</v>
      </c>
      <c r="E16" s="61">
        <v>17</v>
      </c>
      <c r="F16" s="61">
        <v>39</v>
      </c>
      <c r="G16" s="61">
        <v>230</v>
      </c>
      <c r="H16" s="110">
        <f>G16/G19</f>
        <v>0.126165660998354</v>
      </c>
      <c r="I16" s="110">
        <v>-0.0277</v>
      </c>
      <c r="J16" s="61">
        <v>746</v>
      </c>
      <c r="K16" s="110">
        <f>J16/J19</f>
        <v>0.0339507577481455</v>
      </c>
      <c r="L16" s="111"/>
      <c r="O16" s="130"/>
    </row>
    <row r="17" ht="27" customHeight="1" spans="1:16">
      <c r="A17" s="132"/>
      <c r="B17" s="133" t="s">
        <v>32</v>
      </c>
      <c r="C17" s="61">
        <v>3</v>
      </c>
      <c r="D17" s="61">
        <v>30</v>
      </c>
      <c r="E17" s="61">
        <v>0</v>
      </c>
      <c r="F17" s="61">
        <v>3</v>
      </c>
      <c r="G17" s="61">
        <v>36</v>
      </c>
      <c r="H17" s="134">
        <f>G17/G19</f>
        <v>0.0197476686780033</v>
      </c>
      <c r="I17" s="134">
        <v>0.0105</v>
      </c>
      <c r="J17" s="61">
        <v>143</v>
      </c>
      <c r="K17" s="134">
        <f>J17/J19</f>
        <v>0.00650798707504665</v>
      </c>
      <c r="L17" s="135"/>
      <c r="O17" s="130"/>
    </row>
    <row r="18" ht="27" customHeight="1" spans="1:16">
      <c r="A18" s="136"/>
      <c r="B18" s="133" t="s">
        <v>69</v>
      </c>
      <c r="C18" s="137">
        <f>SUM(C7:C17)</f>
        <v>298</v>
      </c>
      <c r="D18" s="137">
        <f>SUM(D7:D17)</f>
        <v>668</v>
      </c>
      <c r="E18" s="137">
        <f>SUM(E7:E17)</f>
        <v>40</v>
      </c>
      <c r="F18" s="137">
        <f>SUM(F7:F17)</f>
        <v>112</v>
      </c>
      <c r="G18" s="137">
        <f>SUM(G7:G17)</f>
        <v>1118</v>
      </c>
      <c r="H18" s="134">
        <f>G18/G19</f>
        <v>0.613274821722436</v>
      </c>
      <c r="I18" s="134">
        <v>-0.0647</v>
      </c>
      <c r="J18" s="137">
        <f>SUM(J7:J17)</f>
        <v>10336</v>
      </c>
      <c r="K18" s="134">
        <f>J18/J19</f>
        <v>0.470395485368407</v>
      </c>
      <c r="L18" s="135"/>
      <c r="O18" s="138"/>
    </row>
    <row r="19" ht="27" customHeight="1" spans="1:16">
      <c r="A19" s="114" t="s">
        <v>53</v>
      </c>
      <c r="B19" s="115"/>
      <c r="C19" s="139">
        <f>C6+C18</f>
        <v>507</v>
      </c>
      <c r="D19" s="139">
        <f t="shared" ref="D19:G19" si="0">D6+D18</f>
        <v>1010</v>
      </c>
      <c r="E19" s="139">
        <f t="shared" si="0"/>
        <v>74</v>
      </c>
      <c r="F19" s="139">
        <f t="shared" si="0"/>
        <v>232</v>
      </c>
      <c r="G19" s="139">
        <f t="shared" si="0"/>
        <v>1823</v>
      </c>
      <c r="H19" s="116"/>
      <c r="I19" s="116"/>
      <c r="J19" s="139" t="s">
        <v>70</v>
      </c>
      <c r="K19" s="116"/>
      <c r="L19" s="117"/>
      <c r="M19" s="138"/>
      <c r="N19" s="138"/>
      <c r="O19" s="138"/>
      <c r="P19" s="140"/>
    </row>
    <row r="20" ht="14.25" spans="1:16">
      <c r="A20" s="127"/>
      <c r="J20" s="141" t="s">
        <v>71</v>
      </c>
      <c r="K20" s="141"/>
      <c r="L20" s="141"/>
      <c r="M20" s="142"/>
      <c r="O20" s="143"/>
    </row>
  </sheetData>
  <mergeCells count="9">
    <mergeCell ref="A2:L2"/>
    <mergeCell ref="A3:L3"/>
    <mergeCell ref="C4:G4"/>
    <mergeCell ref="H4:I4"/>
    <mergeCell ref="J4:K4"/>
    <mergeCell ref="J20:L20"/>
    <mergeCell ref="A7:A18"/>
    <mergeCell ref="L4:L5"/>
    <mergeCell ref="A4:B5"/>
  </mergeCells>
  <pageMargins left="0.708661417322835" right="0.708661417322835" top="0.45" bottom="0.748031496062992" header="0.31496062992126" footer="0.3149606299212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A2" sqref="A2:L12"/>
    </sheetView>
  </sheetViews>
  <sheetFormatPr defaultColWidth="9" defaultRowHeight="13.5"/>
  <cols>
    <col min="1" max="1" width="9.5" customWidth="1"/>
    <col min="2" max="2" width="15" customWidth="1"/>
    <col min="3" max="3" width="10.125" customWidth="1"/>
    <col min="4" max="4" width="10" customWidth="1"/>
    <col min="5" max="5" width="8.75" customWidth="1"/>
    <col min="6" max="6" width="10.125" customWidth="1"/>
    <col min="7" max="7" width="10.25" customWidth="1"/>
    <col min="8" max="8" width="11.875" customWidth="1"/>
    <col min="9" max="9" width="13.375" customWidth="1"/>
    <col min="10" max="10" width="10.375" customWidth="1"/>
    <col min="11" max="11" width="11.125" customWidth="1"/>
    <col min="12" max="12" width="9.625" customWidth="1"/>
  </cols>
  <sheetData>
    <row r="1" ht="15.75" customHeight="1" spans="1:12">
      <c r="A1" s="99" t="s">
        <v>72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ht="27" spans="1:12">
      <c r="A2" s="101" t="s">
        <v>73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ht="23.25" customHeight="1" spans="1:12">
      <c r="A3" s="53" t="s">
        <v>74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ht="28.5" customHeight="1" spans="1:12">
      <c r="A4" s="102" t="s">
        <v>44</v>
      </c>
      <c r="B4" s="103"/>
      <c r="C4" s="103" t="s">
        <v>45</v>
      </c>
      <c r="D4" s="103"/>
      <c r="E4" s="103"/>
      <c r="F4" s="103"/>
      <c r="G4" s="103"/>
      <c r="H4" s="103" t="s">
        <v>46</v>
      </c>
      <c r="I4" s="103"/>
      <c r="J4" s="103" t="s">
        <v>47</v>
      </c>
      <c r="K4" s="103"/>
      <c r="L4" s="104" t="s">
        <v>48</v>
      </c>
    </row>
    <row r="5" ht="27" customHeight="1" spans="1:12">
      <c r="A5" s="105"/>
      <c r="B5" s="106"/>
      <c r="C5" s="106" t="s">
        <v>49</v>
      </c>
      <c r="D5" s="106" t="s">
        <v>50</v>
      </c>
      <c r="E5" s="106" t="s">
        <v>51</v>
      </c>
      <c r="F5" s="106" t="s">
        <v>52</v>
      </c>
      <c r="G5" s="106" t="s">
        <v>53</v>
      </c>
      <c r="H5" s="106" t="s">
        <v>54</v>
      </c>
      <c r="I5" s="106" t="s">
        <v>55</v>
      </c>
      <c r="J5" s="106" t="s">
        <v>56</v>
      </c>
      <c r="K5" s="106" t="s">
        <v>54</v>
      </c>
      <c r="L5" s="107"/>
    </row>
    <row r="6" ht="27" customHeight="1" spans="1:12">
      <c r="A6" s="108" t="s">
        <v>57</v>
      </c>
      <c r="B6" s="109" t="s">
        <v>75</v>
      </c>
      <c r="C6" s="61">
        <v>86</v>
      </c>
      <c r="D6" s="61">
        <v>56</v>
      </c>
      <c r="E6" s="61">
        <v>1</v>
      </c>
      <c r="F6" s="61">
        <v>8</v>
      </c>
      <c r="G6" s="61">
        <v>151</v>
      </c>
      <c r="H6" s="110">
        <f>G6/G11</f>
        <v>0.30879345603272</v>
      </c>
      <c r="I6" s="110">
        <v>0.0314</v>
      </c>
      <c r="J6" s="61">
        <v>1253</v>
      </c>
      <c r="K6" s="110">
        <f>J6/J11</f>
        <v>0.313328332083021</v>
      </c>
      <c r="L6" s="111"/>
    </row>
    <row r="7" ht="27" customHeight="1" spans="1:12">
      <c r="A7" s="108" t="s">
        <v>60</v>
      </c>
      <c r="B7" s="109" t="s">
        <v>76</v>
      </c>
      <c r="C7" s="61">
        <v>4</v>
      </c>
      <c r="D7" s="61">
        <v>78</v>
      </c>
      <c r="E7" s="61">
        <v>13</v>
      </c>
      <c r="F7" s="61">
        <v>24</v>
      </c>
      <c r="G7" s="61">
        <v>119</v>
      </c>
      <c r="H7" s="110">
        <f>G7/G11</f>
        <v>0.243353783231084</v>
      </c>
      <c r="I7" s="110">
        <v>-0.058</v>
      </c>
      <c r="J7" s="61">
        <v>1046</v>
      </c>
      <c r="K7" s="110">
        <f>J7/J11</f>
        <v>0.261565391347837</v>
      </c>
      <c r="L7" s="111"/>
    </row>
    <row r="8" ht="27" customHeight="1" spans="1:12">
      <c r="A8" s="108"/>
      <c r="B8" s="109" t="s">
        <v>77</v>
      </c>
      <c r="C8" s="61">
        <v>1</v>
      </c>
      <c r="D8" s="61">
        <v>65</v>
      </c>
      <c r="E8" s="61">
        <v>6</v>
      </c>
      <c r="F8" s="61">
        <v>15</v>
      </c>
      <c r="G8" s="61">
        <v>87</v>
      </c>
      <c r="H8" s="110">
        <f>G8/G11</f>
        <v>0.177914110429448</v>
      </c>
      <c r="I8" s="110">
        <v>-0.0858</v>
      </c>
      <c r="J8" s="61">
        <v>860</v>
      </c>
      <c r="K8" s="110">
        <f>J8/J11</f>
        <v>0.21505376344086</v>
      </c>
      <c r="L8" s="111"/>
    </row>
    <row r="9" ht="27" customHeight="1" spans="1:12">
      <c r="A9" s="108"/>
      <c r="B9" s="109" t="s">
        <v>78</v>
      </c>
      <c r="C9" s="61">
        <v>8</v>
      </c>
      <c r="D9" s="61">
        <v>45</v>
      </c>
      <c r="E9" s="61">
        <v>31</v>
      </c>
      <c r="F9" s="61">
        <v>48</v>
      </c>
      <c r="G9" s="61">
        <f>SUM(C9:F9)</f>
        <v>132</v>
      </c>
      <c r="H9" s="110">
        <f>G9/G11</f>
        <v>0.269938650306748</v>
      </c>
      <c r="I9" s="110">
        <v>0.1124</v>
      </c>
      <c r="J9" s="61">
        <v>840</v>
      </c>
      <c r="K9" s="110">
        <f>J9/J11</f>
        <v>0.210052513128282</v>
      </c>
      <c r="L9" s="111"/>
    </row>
    <row r="10" ht="27" customHeight="1" spans="1:12">
      <c r="A10" s="108"/>
      <c r="B10" s="109" t="s">
        <v>69</v>
      </c>
      <c r="C10" s="123">
        <f>SUM(C7:C9)</f>
        <v>13</v>
      </c>
      <c r="D10" s="123">
        <f>SUM(D7:D9)</f>
        <v>188</v>
      </c>
      <c r="E10" s="123">
        <f>SUM(E7:E9)</f>
        <v>50</v>
      </c>
      <c r="F10" s="123">
        <f>SUM(F7:F9)</f>
        <v>87</v>
      </c>
      <c r="G10" s="123">
        <f>SUM(G7:G9)</f>
        <v>338</v>
      </c>
      <c r="H10" s="110">
        <f>G10/G11</f>
        <v>0.69120654396728</v>
      </c>
      <c r="I10" s="110">
        <v>-0.0314</v>
      </c>
      <c r="J10" s="123">
        <f>SUM(J7:J9)</f>
        <v>2746</v>
      </c>
      <c r="K10" s="110">
        <f>J10/J11</f>
        <v>0.686671667916979</v>
      </c>
      <c r="L10" s="111"/>
    </row>
    <row r="11" ht="27" customHeight="1" spans="1:12">
      <c r="A11" s="114" t="s">
        <v>53</v>
      </c>
      <c r="B11" s="115"/>
      <c r="C11" s="126">
        <f>C6+C10</f>
        <v>99</v>
      </c>
      <c r="D11" s="126">
        <f t="shared" ref="D11:G11" si="0">D6+D10</f>
        <v>244</v>
      </c>
      <c r="E11" s="126">
        <f t="shared" si="0"/>
        <v>51</v>
      </c>
      <c r="F11" s="126">
        <f t="shared" si="0"/>
        <v>95</v>
      </c>
      <c r="G11" s="126">
        <f t="shared" si="0"/>
        <v>489</v>
      </c>
      <c r="H11" s="116"/>
      <c r="I11" s="116"/>
      <c r="J11" s="126">
        <v>3999</v>
      </c>
      <c r="K11" s="116"/>
      <c r="L11" s="117"/>
    </row>
    <row r="12" ht="14.25" spans="1:12">
      <c r="A12" s="118"/>
      <c r="J12" s="85" t="s">
        <v>71</v>
      </c>
      <c r="K12" s="85"/>
      <c r="L12" s="85"/>
    </row>
    <row r="13" spans="1:12">
      <c r="A13" s="127"/>
    </row>
    <row r="14" spans="1:12">
      <c r="A14" s="127"/>
    </row>
    <row r="25" spans="7:7">
      <c r="G25" t="s">
        <v>79</v>
      </c>
    </row>
  </sheetData>
  <mergeCells count="9">
    <mergeCell ref="A2:L2"/>
    <mergeCell ref="A3:L3"/>
    <mergeCell ref="C4:G4"/>
    <mergeCell ref="H4:I4"/>
    <mergeCell ref="J4:K4"/>
    <mergeCell ref="J12:L12"/>
    <mergeCell ref="A7:A10"/>
    <mergeCell ref="L4:L5"/>
    <mergeCell ref="A4:B5"/>
  </mergeCells>
  <pageMargins left="0.91" right="0.708661417322835" top="1.06" bottom="0.748031496062992" header="0.31496062992126" footer="0.31496062992126"/>
  <pageSetup paperSize="9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2" sqref="A2:L12"/>
    </sheetView>
  </sheetViews>
  <sheetFormatPr defaultColWidth="9" defaultRowHeight="13.5"/>
  <cols>
    <col min="1" max="1" width="8.5" customWidth="1"/>
    <col min="2" max="2" width="12.875" customWidth="1"/>
    <col min="3" max="3" width="9.875" customWidth="1"/>
    <col min="4" max="4" width="9.5" customWidth="1"/>
    <col min="5" max="5" width="9.375" customWidth="1"/>
    <col min="6" max="6" width="9.75" customWidth="1"/>
    <col min="7" max="7" width="9.875" customWidth="1"/>
    <col min="8" max="8" width="11.5" customWidth="1"/>
    <col min="9" max="9" width="13.875" customWidth="1"/>
    <col min="10" max="10" width="10.5" customWidth="1"/>
    <col min="11" max="11" width="11.625" customWidth="1"/>
    <col min="12" max="12" width="10.875" customWidth="1"/>
  </cols>
  <sheetData>
    <row r="1" ht="15.75" customHeight="1" spans="1:21">
      <c r="A1" s="99" t="s">
        <v>80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ht="27" spans="1:21">
      <c r="A2" s="101" t="s">
        <v>81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ht="19.5" spans="1:21">
      <c r="A3" s="53" t="s">
        <v>74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ht="28.5" customHeight="1" spans="1:21">
      <c r="A4" s="102" t="s">
        <v>44</v>
      </c>
      <c r="B4" s="103"/>
      <c r="C4" s="103" t="s">
        <v>45</v>
      </c>
      <c r="D4" s="103"/>
      <c r="E4" s="103"/>
      <c r="F4" s="103"/>
      <c r="G4" s="103"/>
      <c r="H4" s="103" t="s">
        <v>46</v>
      </c>
      <c r="I4" s="103"/>
      <c r="J4" s="103" t="s">
        <v>47</v>
      </c>
      <c r="K4" s="103"/>
      <c r="L4" s="104" t="s">
        <v>48</v>
      </c>
    </row>
    <row r="5" ht="27" customHeight="1" spans="1:21">
      <c r="A5" s="105"/>
      <c r="B5" s="106"/>
      <c r="C5" s="106" t="s">
        <v>49</v>
      </c>
      <c r="D5" s="106" t="s">
        <v>50</v>
      </c>
      <c r="E5" s="106" t="s">
        <v>51</v>
      </c>
      <c r="F5" s="106" t="s">
        <v>52</v>
      </c>
      <c r="G5" s="106" t="s">
        <v>53</v>
      </c>
      <c r="H5" s="106" t="s">
        <v>54</v>
      </c>
      <c r="I5" s="106" t="s">
        <v>55</v>
      </c>
      <c r="J5" s="106" t="s">
        <v>56</v>
      </c>
      <c r="K5" s="106" t="s">
        <v>54</v>
      </c>
      <c r="L5" s="107"/>
    </row>
    <row r="6" ht="27" customHeight="1" spans="1:21">
      <c r="A6" s="108" t="s">
        <v>57</v>
      </c>
      <c r="B6" s="109" t="s">
        <v>82</v>
      </c>
      <c r="C6" s="61">
        <v>47</v>
      </c>
      <c r="D6" s="61">
        <v>35</v>
      </c>
      <c r="E6" s="61">
        <v>0</v>
      </c>
      <c r="F6" s="61">
        <v>19</v>
      </c>
      <c r="G6" s="61">
        <v>101</v>
      </c>
      <c r="H6" s="110">
        <f>G6/G11</f>
        <v>0.505</v>
      </c>
      <c r="I6" s="110">
        <v>-0.1124</v>
      </c>
      <c r="J6" s="61">
        <v>1484</v>
      </c>
      <c r="K6" s="110">
        <f>J6/J11</f>
        <v>0.530948121645796</v>
      </c>
      <c r="L6" s="111"/>
      <c r="M6" s="119"/>
      <c r="N6" s="120"/>
      <c r="O6" s="119"/>
      <c r="P6" s="120"/>
      <c r="Q6" s="119"/>
      <c r="R6" s="120"/>
      <c r="S6" s="119"/>
      <c r="T6" s="120"/>
      <c r="U6" s="121"/>
    </row>
    <row r="7" ht="27" customHeight="1" spans="1:21">
      <c r="A7" s="108" t="s">
        <v>60</v>
      </c>
      <c r="B7" s="109" t="s">
        <v>83</v>
      </c>
      <c r="C7" s="61">
        <v>2</v>
      </c>
      <c r="D7" s="61">
        <v>25</v>
      </c>
      <c r="E7" s="61">
        <v>4</v>
      </c>
      <c r="F7" s="61">
        <v>4</v>
      </c>
      <c r="G7" s="61">
        <v>35</v>
      </c>
      <c r="H7" s="110">
        <f>G7/G11</f>
        <v>0.175</v>
      </c>
      <c r="I7" s="110">
        <v>-0.0366</v>
      </c>
      <c r="J7" s="61">
        <v>659</v>
      </c>
      <c r="K7" s="110">
        <f>J7/J11</f>
        <v>0.235778175313059</v>
      </c>
      <c r="L7" s="111"/>
    </row>
    <row r="8" ht="27" customHeight="1" spans="1:21">
      <c r="A8" s="108"/>
      <c r="B8" s="109" t="s">
        <v>84</v>
      </c>
      <c r="C8" s="61">
        <v>0</v>
      </c>
      <c r="D8" s="61">
        <v>25</v>
      </c>
      <c r="E8" s="61">
        <v>2</v>
      </c>
      <c r="F8" s="61">
        <v>4</v>
      </c>
      <c r="G8" s="61">
        <v>31</v>
      </c>
      <c r="H8" s="122">
        <f>G8/G11</f>
        <v>0.155</v>
      </c>
      <c r="I8" s="122">
        <v>0.08</v>
      </c>
      <c r="J8" s="61">
        <v>202</v>
      </c>
      <c r="K8" s="122">
        <f>J8/J11</f>
        <v>0.0722719141323793</v>
      </c>
      <c r="L8" s="111"/>
    </row>
    <row r="9" ht="27" customHeight="1" spans="1:21">
      <c r="A9" s="108"/>
      <c r="B9" s="109" t="s">
        <v>85</v>
      </c>
      <c r="C9" s="61">
        <v>1</v>
      </c>
      <c r="D9" s="61">
        <v>30</v>
      </c>
      <c r="E9" s="61">
        <v>1</v>
      </c>
      <c r="F9" s="61">
        <v>1</v>
      </c>
      <c r="G9" s="61">
        <v>33</v>
      </c>
      <c r="H9" s="110">
        <f>G9/G11</f>
        <v>0.165</v>
      </c>
      <c r="I9" s="110">
        <v>0.0317</v>
      </c>
      <c r="J9" s="61">
        <v>450</v>
      </c>
      <c r="K9" s="110">
        <f>J9/J11</f>
        <v>0.161001788908766</v>
      </c>
      <c r="L9" s="111"/>
    </row>
    <row r="10" ht="27" customHeight="1" spans="1:21">
      <c r="A10" s="108"/>
      <c r="B10" s="109" t="s">
        <v>69</v>
      </c>
      <c r="C10" s="61">
        <f>SUM(C7:C9)</f>
        <v>3</v>
      </c>
      <c r="D10" s="61">
        <f>SUM(D7:D9)</f>
        <v>80</v>
      </c>
      <c r="E10" s="61">
        <f>SUM(E7:E9)</f>
        <v>7</v>
      </c>
      <c r="F10" s="61">
        <f>SUM(F7:F9)</f>
        <v>9</v>
      </c>
      <c r="G10" s="61">
        <f>SUM(G7:G9)</f>
        <v>99</v>
      </c>
      <c r="H10" s="110">
        <f>G10/G11</f>
        <v>0.495</v>
      </c>
      <c r="I10" s="110">
        <v>0.1124</v>
      </c>
      <c r="J10" s="123">
        <f>SUM(J7:J9)</f>
        <v>1311</v>
      </c>
      <c r="K10" s="110">
        <f>J10/J11</f>
        <v>0.469051878354204</v>
      </c>
      <c r="L10" s="111"/>
    </row>
    <row r="11" ht="27" customHeight="1" spans="1:21">
      <c r="A11" s="114" t="s">
        <v>53</v>
      </c>
      <c r="B11" s="115"/>
      <c r="C11" s="124">
        <f>C6+C10</f>
        <v>50</v>
      </c>
      <c r="D11" s="124">
        <f t="shared" ref="D11:G11" si="0">D6+D10</f>
        <v>115</v>
      </c>
      <c r="E11" s="124">
        <f t="shared" si="0"/>
        <v>7</v>
      </c>
      <c r="F11" s="124">
        <f t="shared" si="0"/>
        <v>28</v>
      </c>
      <c r="G11" s="124">
        <f t="shared" si="0"/>
        <v>200</v>
      </c>
      <c r="H11" s="116"/>
      <c r="I11" s="116"/>
      <c r="J11" s="124">
        <v>2795</v>
      </c>
      <c r="K11" s="116"/>
      <c r="L11" s="117"/>
    </row>
    <row r="12" ht="14.25" spans="1:21">
      <c r="J12" s="85" t="s">
        <v>71</v>
      </c>
      <c r="K12" s="85"/>
      <c r="L12" s="85"/>
    </row>
    <row r="19" spans="10:10">
      <c r="J19" s="125"/>
    </row>
  </sheetData>
  <mergeCells count="9">
    <mergeCell ref="A2:L2"/>
    <mergeCell ref="A3:L3"/>
    <mergeCell ref="C4:G4"/>
    <mergeCell ref="H4:I4"/>
    <mergeCell ref="J4:K4"/>
    <mergeCell ref="J12:L12"/>
    <mergeCell ref="A7:A10"/>
    <mergeCell ref="L4:L5"/>
    <mergeCell ref="A4:B5"/>
  </mergeCells>
  <pageMargins left="0.96" right="0.708661417322835" top="0.97" bottom="0.748031496062992" header="0.31496062992126" footer="0.31496062992126"/>
  <pageSetup paperSize="9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2" sqref="A2:L12"/>
    </sheetView>
  </sheetViews>
  <sheetFormatPr defaultColWidth="9" defaultRowHeight="13.5"/>
  <cols>
    <col min="1" max="1" width="8.75" customWidth="1"/>
    <col min="2" max="2" width="14" customWidth="1"/>
    <col min="3" max="4" width="9.75" customWidth="1"/>
    <col min="5" max="5" width="9.5" customWidth="1"/>
    <col min="6" max="7" width="9.625" customWidth="1"/>
    <col min="8" max="8" width="11.75" customWidth="1"/>
    <col min="9" max="9" width="13.875" customWidth="1"/>
    <col min="10" max="10" width="9.875" customWidth="1"/>
    <col min="11" max="11" width="11.875" customWidth="1"/>
    <col min="12" max="12" width="10.5" customWidth="1"/>
  </cols>
  <sheetData>
    <row r="1" ht="15.75" customHeight="1" spans="1:12">
      <c r="A1" s="99" t="s">
        <v>86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ht="27" spans="1:12">
      <c r="A2" s="101" t="s">
        <v>87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ht="19.5" spans="1:12">
      <c r="A3" s="53" t="s">
        <v>74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ht="28.5" customHeight="1" spans="1:12">
      <c r="A4" s="102" t="s">
        <v>44</v>
      </c>
      <c r="B4" s="103"/>
      <c r="C4" s="103" t="s">
        <v>45</v>
      </c>
      <c r="D4" s="103"/>
      <c r="E4" s="103"/>
      <c r="F4" s="103"/>
      <c r="G4" s="103"/>
      <c r="H4" s="103" t="s">
        <v>46</v>
      </c>
      <c r="I4" s="103"/>
      <c r="J4" s="103" t="s">
        <v>47</v>
      </c>
      <c r="K4" s="103"/>
      <c r="L4" s="104" t="s">
        <v>48</v>
      </c>
    </row>
    <row r="5" ht="27" customHeight="1" spans="1:12">
      <c r="A5" s="105"/>
      <c r="B5" s="106"/>
      <c r="C5" s="106" t="s">
        <v>49</v>
      </c>
      <c r="D5" s="106" t="s">
        <v>50</v>
      </c>
      <c r="E5" s="106" t="s">
        <v>51</v>
      </c>
      <c r="F5" s="106" t="s">
        <v>52</v>
      </c>
      <c r="G5" s="106" t="s">
        <v>53</v>
      </c>
      <c r="H5" s="106" t="s">
        <v>54</v>
      </c>
      <c r="I5" s="106" t="s">
        <v>55</v>
      </c>
      <c r="J5" s="106" t="s">
        <v>56</v>
      </c>
      <c r="K5" s="106" t="s">
        <v>54</v>
      </c>
      <c r="L5" s="107"/>
    </row>
    <row r="6" ht="27" customHeight="1" spans="1:12">
      <c r="A6" s="108" t="s">
        <v>57</v>
      </c>
      <c r="B6" s="109" t="s">
        <v>88</v>
      </c>
      <c r="C6" s="61">
        <v>70</v>
      </c>
      <c r="D6" s="61">
        <v>34</v>
      </c>
      <c r="E6" s="61">
        <v>1</v>
      </c>
      <c r="F6" s="61">
        <v>5</v>
      </c>
      <c r="G6" s="61">
        <v>110</v>
      </c>
      <c r="H6" s="110">
        <f>G6/G11</f>
        <v>0.46218487394958</v>
      </c>
      <c r="I6" s="110">
        <v>0.0187</v>
      </c>
      <c r="J6" s="61">
        <v>1148</v>
      </c>
      <c r="K6" s="110">
        <f>J6/J11</f>
        <v>0.355748373101952</v>
      </c>
      <c r="L6" s="111"/>
    </row>
    <row r="7" ht="27" customHeight="1" spans="1:12">
      <c r="A7" s="108" t="s">
        <v>60</v>
      </c>
      <c r="B7" s="109" t="s">
        <v>89</v>
      </c>
      <c r="C7" s="61">
        <v>11</v>
      </c>
      <c r="D7" s="61">
        <v>52</v>
      </c>
      <c r="E7" s="61">
        <v>11</v>
      </c>
      <c r="F7" s="61">
        <v>13</v>
      </c>
      <c r="G7" s="61">
        <v>87</v>
      </c>
      <c r="H7" s="110">
        <f>G7/G11</f>
        <v>0.365546218487395</v>
      </c>
      <c r="I7" s="112">
        <v>-0.0303</v>
      </c>
      <c r="J7" s="61">
        <v>1326</v>
      </c>
      <c r="K7" s="110">
        <f>J7/J11</f>
        <v>0.4109079640533</v>
      </c>
      <c r="L7" s="111"/>
    </row>
    <row r="8" ht="27" customHeight="1" spans="1:12">
      <c r="A8" s="108"/>
      <c r="B8" s="109" t="s">
        <v>90</v>
      </c>
      <c r="C8" s="61">
        <v>0</v>
      </c>
      <c r="D8" s="61">
        <v>18</v>
      </c>
      <c r="E8" s="61">
        <v>6</v>
      </c>
      <c r="F8" s="61">
        <v>6</v>
      </c>
      <c r="G8" s="61">
        <v>30</v>
      </c>
      <c r="H8" s="110">
        <f>G8/G11</f>
        <v>0.126050420168067</v>
      </c>
      <c r="I8" s="110">
        <v>0.0011</v>
      </c>
      <c r="J8" s="61">
        <v>497</v>
      </c>
      <c r="K8" s="110">
        <f>J8/J11</f>
        <v>0.154013015184382</v>
      </c>
      <c r="L8" s="111"/>
    </row>
    <row r="9" ht="27" customHeight="1" spans="1:12">
      <c r="A9" s="108"/>
      <c r="B9" s="109" t="s">
        <v>91</v>
      </c>
      <c r="C9" s="61">
        <v>3</v>
      </c>
      <c r="D9" s="61">
        <v>5</v>
      </c>
      <c r="E9" s="61">
        <v>1</v>
      </c>
      <c r="F9" s="61">
        <v>2</v>
      </c>
      <c r="G9" s="61">
        <v>11</v>
      </c>
      <c r="H9" s="110">
        <f>G9/G11</f>
        <v>0.046218487394958</v>
      </c>
      <c r="I9" s="110">
        <v>0.0105</v>
      </c>
      <c r="J9" s="61">
        <v>256</v>
      </c>
      <c r="K9" s="110">
        <f>J9/J11</f>
        <v>0.0793306476603657</v>
      </c>
      <c r="L9" s="111"/>
    </row>
    <row r="10" ht="27" customHeight="1" spans="1:12">
      <c r="A10" s="108"/>
      <c r="B10" s="109" t="s">
        <v>69</v>
      </c>
      <c r="C10" s="113">
        <f>SUM(C7:C9)</f>
        <v>14</v>
      </c>
      <c r="D10" s="113">
        <f>SUM(D7:D9)</f>
        <v>75</v>
      </c>
      <c r="E10" s="113">
        <f>SUM(E7:E9)</f>
        <v>18</v>
      </c>
      <c r="F10" s="113">
        <f>SUM(F7:F9)</f>
        <v>21</v>
      </c>
      <c r="G10" s="113">
        <f>SUM(G7:G9)</f>
        <v>128</v>
      </c>
      <c r="H10" s="110">
        <f>G10/G11</f>
        <v>0.53781512605042</v>
      </c>
      <c r="I10" s="110">
        <v>-0.0184</v>
      </c>
      <c r="J10" s="113">
        <f>SUM(J7:J9)</f>
        <v>2079</v>
      </c>
      <c r="K10" s="110">
        <f>J10/J11</f>
        <v>0.644251626898048</v>
      </c>
      <c r="L10" s="111"/>
    </row>
    <row r="11" ht="27" customHeight="1" spans="1:12">
      <c r="A11" s="114" t="s">
        <v>53</v>
      </c>
      <c r="B11" s="115"/>
      <c r="C11" s="116">
        <f>C6+C10</f>
        <v>84</v>
      </c>
      <c r="D11" s="116">
        <f t="shared" ref="D11:G11" si="0">D6+D10</f>
        <v>109</v>
      </c>
      <c r="E11" s="116">
        <f t="shared" si="0"/>
        <v>19</v>
      </c>
      <c r="F11" s="116">
        <f t="shared" si="0"/>
        <v>26</v>
      </c>
      <c r="G11" s="116">
        <f t="shared" si="0"/>
        <v>238</v>
      </c>
      <c r="H11" s="116"/>
      <c r="I11" s="116"/>
      <c r="J11" s="116">
        <v>3227</v>
      </c>
      <c r="K11" s="116"/>
      <c r="L11" s="117"/>
    </row>
    <row r="12" ht="14.25" spans="1:12">
      <c r="A12" s="118"/>
      <c r="J12" s="85" t="s">
        <v>71</v>
      </c>
      <c r="K12" s="85"/>
      <c r="L12" s="85"/>
    </row>
  </sheetData>
  <mergeCells count="9">
    <mergeCell ref="A2:L2"/>
    <mergeCell ref="A3:L3"/>
    <mergeCell ref="C4:G4"/>
    <mergeCell ref="H4:I4"/>
    <mergeCell ref="J4:K4"/>
    <mergeCell ref="J12:L12"/>
    <mergeCell ref="A7:A10"/>
    <mergeCell ref="L4:L5"/>
    <mergeCell ref="A4:B5"/>
  </mergeCells>
  <pageMargins left="0.99" right="0.708661417322835" top="0.95" bottom="0.748031496062992" header="0.31496062992126" footer="0.31496062992126"/>
  <pageSetup paperSize="9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workbookViewId="0">
      <selection activeCell="A1" sqref="A1:H25"/>
    </sheetView>
  </sheetViews>
  <sheetFormatPr defaultColWidth="9" defaultRowHeight="21.95" customHeight="1"/>
  <cols>
    <col min="1" max="1" width="16.875" customWidth="1"/>
    <col min="3" max="3" width="8.625" customWidth="1"/>
    <col min="4" max="4" width="9" customWidth="1"/>
    <col min="6" max="6" width="13.625" customWidth="1"/>
    <col min="7" max="7" width="9" customWidth="1"/>
    <col min="8" max="8" width="14" customWidth="1"/>
    <col min="10" max="10" width="16.875" customWidth="1"/>
    <col min="11" max="11" width="17" customWidth="1"/>
    <col min="12" max="12" width="14.25" customWidth="1"/>
    <col min="13" max="13" width="14" customWidth="1"/>
    <col min="14" max="14" width="13.625" customWidth="1"/>
  </cols>
  <sheetData>
    <row r="1" ht="32.25" customHeight="1" spans="1:20">
      <c r="A1" s="78" t="s">
        <v>92</v>
      </c>
      <c r="B1" s="78"/>
      <c r="C1" s="78"/>
      <c r="D1" s="78"/>
      <c r="E1" s="78"/>
      <c r="F1" s="78"/>
      <c r="G1" s="78"/>
      <c r="H1" s="78"/>
    </row>
    <row r="2" ht="19.5" customHeight="1" spans="1:20">
      <c r="A2" s="79" t="s">
        <v>93</v>
      </c>
      <c r="B2" s="79"/>
      <c r="C2" s="79"/>
      <c r="D2" s="79"/>
      <c r="E2" s="79"/>
      <c r="F2" s="79"/>
      <c r="G2" s="79"/>
      <c r="H2" s="79"/>
    </row>
    <row r="3" ht="28.5" customHeight="1" spans="1:20">
      <c r="A3" s="80" t="s">
        <v>44</v>
      </c>
      <c r="B3" s="81" t="s">
        <v>94</v>
      </c>
      <c r="C3" s="82"/>
      <c r="D3" s="83" t="s">
        <v>95</v>
      </c>
      <c r="E3" s="81" t="s">
        <v>96</v>
      </c>
      <c r="F3" s="82"/>
      <c r="G3" s="83" t="s">
        <v>95</v>
      </c>
      <c r="H3" s="84" t="s">
        <v>48</v>
      </c>
      <c r="J3" s="85"/>
      <c r="Q3" s="85"/>
      <c r="R3" s="85"/>
      <c r="S3" s="85"/>
      <c r="T3" s="85"/>
    </row>
    <row r="4" ht="28.5" customHeight="1" spans="1:20">
      <c r="A4" s="86" t="s">
        <v>63</v>
      </c>
      <c r="B4" s="87">
        <v>285</v>
      </c>
      <c r="C4" s="88"/>
      <c r="D4" s="89">
        <v>1</v>
      </c>
      <c r="E4" s="87">
        <v>2243</v>
      </c>
      <c r="F4" s="88"/>
      <c r="G4" s="89">
        <v>1</v>
      </c>
      <c r="H4" s="90"/>
      <c r="J4" s="76"/>
      <c r="Q4" s="85"/>
      <c r="R4" s="85"/>
      <c r="S4" s="85"/>
      <c r="T4" s="85"/>
    </row>
    <row r="5" ht="28.5" customHeight="1" spans="1:20">
      <c r="A5" s="86" t="s">
        <v>61</v>
      </c>
      <c r="B5" s="87">
        <v>114</v>
      </c>
      <c r="C5" s="88"/>
      <c r="D5" s="89">
        <v>5</v>
      </c>
      <c r="E5" s="87">
        <v>1587</v>
      </c>
      <c r="F5" s="88"/>
      <c r="G5" s="89">
        <v>2</v>
      </c>
      <c r="H5" s="90"/>
      <c r="J5" s="76"/>
      <c r="Q5" s="85"/>
      <c r="R5" s="85"/>
      <c r="S5" s="85"/>
      <c r="T5" s="85"/>
    </row>
    <row r="6" ht="28.5" customHeight="1" spans="1:20">
      <c r="A6" s="86" t="s">
        <v>67</v>
      </c>
      <c r="B6" s="87">
        <v>89</v>
      </c>
      <c r="C6" s="88"/>
      <c r="D6" s="89">
        <v>8</v>
      </c>
      <c r="E6" s="87">
        <v>1347</v>
      </c>
      <c r="F6" s="88"/>
      <c r="G6" s="89">
        <v>3</v>
      </c>
      <c r="H6" s="90"/>
      <c r="J6" s="76"/>
      <c r="K6" s="76"/>
      <c r="L6" s="85"/>
      <c r="M6" s="85"/>
      <c r="N6" s="85"/>
      <c r="O6" s="85"/>
      <c r="P6" s="85"/>
      <c r="Q6" s="85"/>
      <c r="R6" s="85"/>
      <c r="S6" s="85"/>
      <c r="T6" s="85"/>
    </row>
    <row r="7" ht="28.5" customHeight="1" spans="1:20">
      <c r="A7" s="86" t="s">
        <v>89</v>
      </c>
      <c r="B7" s="87">
        <v>87</v>
      </c>
      <c r="C7" s="88"/>
      <c r="D7" s="89">
        <v>9</v>
      </c>
      <c r="E7" s="87">
        <v>1326</v>
      </c>
      <c r="F7" s="88"/>
      <c r="G7" s="89">
        <v>4</v>
      </c>
      <c r="H7" s="90"/>
      <c r="J7" s="76"/>
      <c r="K7" s="85"/>
      <c r="L7" s="85"/>
      <c r="M7" s="85"/>
      <c r="N7" s="85"/>
      <c r="O7" s="85"/>
      <c r="Q7" s="85"/>
      <c r="R7" s="85"/>
      <c r="S7" s="85"/>
      <c r="T7" s="85"/>
    </row>
    <row r="8" ht="28.5" customHeight="1" spans="1:20">
      <c r="A8" s="86" t="s">
        <v>62</v>
      </c>
      <c r="B8" s="87">
        <v>100</v>
      </c>
      <c r="C8" s="88"/>
      <c r="D8" s="89">
        <v>6</v>
      </c>
      <c r="E8" s="87">
        <v>1205</v>
      </c>
      <c r="F8" s="88"/>
      <c r="G8" s="89">
        <v>5</v>
      </c>
      <c r="H8" s="90"/>
      <c r="J8" s="76"/>
      <c r="K8" s="85"/>
      <c r="L8" s="85"/>
      <c r="M8" s="85"/>
      <c r="N8" s="85"/>
      <c r="O8" s="85"/>
      <c r="Q8" s="85"/>
      <c r="R8" s="85"/>
      <c r="S8" s="85"/>
      <c r="T8" s="85"/>
    </row>
    <row r="9" ht="28.5" customHeight="1" spans="1:20">
      <c r="A9" s="86" t="s">
        <v>66</v>
      </c>
      <c r="B9" s="87">
        <v>93</v>
      </c>
      <c r="C9" s="88"/>
      <c r="D9" s="89">
        <v>7</v>
      </c>
      <c r="E9" s="87">
        <v>1092</v>
      </c>
      <c r="F9" s="88"/>
      <c r="G9" s="89">
        <v>6</v>
      </c>
      <c r="H9" s="90"/>
      <c r="J9" s="76"/>
      <c r="Q9" s="85"/>
      <c r="R9" s="85"/>
      <c r="S9" s="85"/>
      <c r="T9" s="85"/>
    </row>
    <row r="10" ht="28.5" customHeight="1" spans="1:20">
      <c r="A10" s="86" t="s">
        <v>76</v>
      </c>
      <c r="B10" s="87">
        <v>119</v>
      </c>
      <c r="C10" s="88"/>
      <c r="D10" s="89">
        <v>4</v>
      </c>
      <c r="E10" s="87">
        <v>1046</v>
      </c>
      <c r="F10" s="88"/>
      <c r="G10" s="89">
        <v>7</v>
      </c>
      <c r="H10" s="90"/>
      <c r="J10" s="76"/>
      <c r="K10" s="85"/>
      <c r="L10" s="85"/>
      <c r="M10" s="85"/>
      <c r="N10" s="85"/>
      <c r="O10" s="85"/>
      <c r="Q10" s="85"/>
      <c r="R10" s="85"/>
      <c r="S10" s="85"/>
      <c r="T10" s="85"/>
    </row>
    <row r="11" ht="28.5" customHeight="1" spans="1:20">
      <c r="A11" s="86" t="s">
        <v>77</v>
      </c>
      <c r="B11" s="87">
        <v>87</v>
      </c>
      <c r="C11" s="88"/>
      <c r="D11" s="89">
        <v>10</v>
      </c>
      <c r="E11" s="87">
        <v>860</v>
      </c>
      <c r="F11" s="88"/>
      <c r="G11" s="89">
        <v>8</v>
      </c>
      <c r="H11" s="90"/>
      <c r="J11" s="76"/>
      <c r="K11" s="85"/>
      <c r="L11" s="85"/>
      <c r="M11" s="85"/>
      <c r="N11" s="85"/>
      <c r="O11" s="85"/>
      <c r="Q11" s="85"/>
      <c r="R11" s="85"/>
      <c r="S11" s="85"/>
      <c r="T11" s="85"/>
    </row>
    <row r="12" ht="28.5" customHeight="1" spans="1:20">
      <c r="A12" s="86" t="s">
        <v>78</v>
      </c>
      <c r="B12" s="87">
        <v>132</v>
      </c>
      <c r="C12" s="88"/>
      <c r="D12" s="89">
        <v>3</v>
      </c>
      <c r="E12" s="87">
        <v>840</v>
      </c>
      <c r="F12" s="88"/>
      <c r="G12" s="89">
        <v>9</v>
      </c>
      <c r="H12" s="90"/>
      <c r="J12" s="76"/>
      <c r="K12" s="76"/>
      <c r="L12" s="85"/>
      <c r="M12" s="85"/>
      <c r="N12" s="85"/>
      <c r="O12" s="85"/>
      <c r="P12" s="85"/>
      <c r="Q12" s="85"/>
      <c r="R12" s="85"/>
      <c r="S12" s="85"/>
      <c r="T12" s="85"/>
    </row>
    <row r="13" ht="28.5" customHeight="1" spans="1:20">
      <c r="A13" s="86" t="s">
        <v>29</v>
      </c>
      <c r="B13" s="87">
        <v>230</v>
      </c>
      <c r="C13" s="88"/>
      <c r="D13" s="89">
        <v>2</v>
      </c>
      <c r="E13" s="87">
        <v>746</v>
      </c>
      <c r="F13" s="88"/>
      <c r="G13" s="89">
        <v>10</v>
      </c>
      <c r="H13" s="90"/>
      <c r="J13" s="76"/>
      <c r="Q13" s="85"/>
      <c r="R13" s="85"/>
      <c r="S13" s="85"/>
      <c r="T13" s="85"/>
    </row>
    <row r="14" ht="28.5" customHeight="1" spans="1:20">
      <c r="A14" s="86" t="s">
        <v>83</v>
      </c>
      <c r="B14" s="87">
        <v>35</v>
      </c>
      <c r="C14" s="88"/>
      <c r="D14" s="89">
        <v>15</v>
      </c>
      <c r="E14" s="87">
        <v>659</v>
      </c>
      <c r="F14" s="88"/>
      <c r="G14" s="89">
        <v>11</v>
      </c>
      <c r="H14" s="90"/>
      <c r="J14" s="76"/>
      <c r="K14" s="85"/>
      <c r="L14" s="85"/>
      <c r="M14" s="85"/>
      <c r="N14" s="85"/>
      <c r="O14" s="85"/>
      <c r="P14" s="85"/>
      <c r="Q14" s="85"/>
      <c r="R14" s="85"/>
      <c r="S14" s="85"/>
      <c r="T14" s="85"/>
    </row>
    <row r="15" ht="28.5" customHeight="1" spans="1:20">
      <c r="A15" s="86" t="s">
        <v>64</v>
      </c>
      <c r="B15" s="87">
        <v>51</v>
      </c>
      <c r="C15" s="88"/>
      <c r="D15" s="89">
        <v>11</v>
      </c>
      <c r="E15" s="87">
        <v>631</v>
      </c>
      <c r="F15" s="88"/>
      <c r="G15" s="89">
        <v>12</v>
      </c>
      <c r="H15" s="90"/>
      <c r="J15" s="76"/>
      <c r="Q15" s="85"/>
      <c r="R15" s="85"/>
      <c r="S15" s="85"/>
      <c r="T15" s="85"/>
    </row>
    <row r="16" ht="28.5" customHeight="1" spans="1:20">
      <c r="A16" s="91" t="s">
        <v>26</v>
      </c>
      <c r="B16" s="87">
        <v>48</v>
      </c>
      <c r="C16" s="88"/>
      <c r="D16" s="89">
        <v>12</v>
      </c>
      <c r="E16" s="87">
        <v>625</v>
      </c>
      <c r="F16" s="88"/>
      <c r="G16" s="89">
        <v>13</v>
      </c>
      <c r="H16" s="90"/>
      <c r="J16" s="76"/>
      <c r="K16" s="85"/>
      <c r="L16" s="85"/>
      <c r="M16" s="85"/>
      <c r="N16" s="85"/>
      <c r="O16" s="85"/>
      <c r="Q16" s="85"/>
      <c r="R16" s="85"/>
      <c r="S16" s="85"/>
      <c r="T16" s="85"/>
    </row>
    <row r="17" ht="28.5" customHeight="1" spans="1:20">
      <c r="A17" s="86" t="s">
        <v>90</v>
      </c>
      <c r="B17" s="87">
        <v>30</v>
      </c>
      <c r="C17" s="88"/>
      <c r="D17" s="89">
        <v>19</v>
      </c>
      <c r="E17" s="87">
        <v>497</v>
      </c>
      <c r="F17" s="88"/>
      <c r="G17" s="89">
        <v>14</v>
      </c>
      <c r="H17" s="90"/>
      <c r="J17" s="76"/>
      <c r="Q17" s="85"/>
      <c r="R17" s="85"/>
      <c r="S17" s="85"/>
      <c r="T17" s="85"/>
    </row>
    <row r="18" ht="28.5" customHeight="1" spans="1:20">
      <c r="A18" s="91" t="s">
        <v>85</v>
      </c>
      <c r="B18" s="87">
        <v>33</v>
      </c>
      <c r="C18" s="88"/>
      <c r="D18" s="89">
        <v>17</v>
      </c>
      <c r="E18" s="87">
        <v>450</v>
      </c>
      <c r="F18" s="88"/>
      <c r="G18" s="89">
        <v>15</v>
      </c>
      <c r="H18" s="90"/>
      <c r="J18" s="76"/>
      <c r="K18" s="76"/>
      <c r="L18" s="85"/>
      <c r="M18" s="85"/>
      <c r="N18" s="76"/>
      <c r="O18" s="85"/>
      <c r="P18" s="85"/>
      <c r="Q18" s="85"/>
      <c r="R18" s="85"/>
      <c r="S18" s="85"/>
      <c r="T18" s="85"/>
    </row>
    <row r="19" ht="28.5" customHeight="1" spans="1:20">
      <c r="A19" s="86" t="s">
        <v>65</v>
      </c>
      <c r="B19" s="87">
        <v>35</v>
      </c>
      <c r="C19" s="88"/>
      <c r="D19" s="89">
        <v>16</v>
      </c>
      <c r="E19" s="87">
        <v>395</v>
      </c>
      <c r="F19" s="88"/>
      <c r="G19" s="89">
        <v>16</v>
      </c>
      <c r="H19" s="90"/>
      <c r="J19" s="76"/>
      <c r="K19" s="76"/>
      <c r="L19" s="85"/>
      <c r="M19" s="85"/>
      <c r="N19" s="76"/>
      <c r="O19" s="85"/>
      <c r="P19" s="85"/>
    </row>
    <row r="20" ht="28.5" customHeight="1" spans="1:20">
      <c r="A20" s="91" t="s">
        <v>27</v>
      </c>
      <c r="B20" s="87">
        <v>37</v>
      </c>
      <c r="C20" s="88"/>
      <c r="D20" s="89">
        <v>13</v>
      </c>
      <c r="E20" s="87">
        <v>322</v>
      </c>
      <c r="F20" s="88"/>
      <c r="G20" s="89">
        <v>17</v>
      </c>
      <c r="H20" s="92"/>
      <c r="J20" s="76"/>
      <c r="K20" s="76"/>
      <c r="L20" s="85"/>
      <c r="M20" s="85"/>
      <c r="N20" s="76"/>
      <c r="O20" s="85"/>
      <c r="P20" s="85"/>
    </row>
    <row r="21" ht="28.5" customHeight="1" spans="1:20">
      <c r="A21" s="91" t="s">
        <v>91</v>
      </c>
      <c r="B21" s="87">
        <v>11</v>
      </c>
      <c r="C21" s="88"/>
      <c r="D21" s="89">
        <v>20</v>
      </c>
      <c r="E21" s="87">
        <v>256</v>
      </c>
      <c r="F21" s="88"/>
      <c r="G21" s="89">
        <v>18</v>
      </c>
      <c r="H21" s="92"/>
      <c r="J21" s="76"/>
      <c r="K21" s="85"/>
      <c r="L21" s="85"/>
      <c r="M21" s="85"/>
      <c r="N21" s="85"/>
      <c r="O21" s="85"/>
      <c r="P21" s="85"/>
    </row>
    <row r="22" ht="28.5" customHeight="1" spans="1:20">
      <c r="A22" s="86" t="s">
        <v>84</v>
      </c>
      <c r="B22" s="87">
        <v>31</v>
      </c>
      <c r="C22" s="88"/>
      <c r="D22" s="89">
        <v>18</v>
      </c>
      <c r="E22" s="87">
        <v>202</v>
      </c>
      <c r="F22" s="88"/>
      <c r="G22" s="89">
        <v>19</v>
      </c>
      <c r="H22" s="92"/>
      <c r="J22" s="76"/>
      <c r="K22" s="85"/>
      <c r="L22" s="85"/>
      <c r="M22" s="85"/>
      <c r="N22" s="85"/>
      <c r="O22" s="85"/>
    </row>
    <row r="23" ht="28.5" customHeight="1" spans="1:20">
      <c r="A23" s="91" t="s">
        <v>32</v>
      </c>
      <c r="B23" s="87">
        <v>36</v>
      </c>
      <c r="C23" s="88"/>
      <c r="D23" s="93">
        <v>14</v>
      </c>
      <c r="E23" s="87">
        <v>143</v>
      </c>
      <c r="F23" s="88"/>
      <c r="G23" s="89">
        <v>20</v>
      </c>
      <c r="H23" s="92"/>
      <c r="J23" s="76"/>
      <c r="K23" s="85"/>
      <c r="L23" s="85"/>
      <c r="M23" s="85"/>
      <c r="N23" s="85"/>
      <c r="O23" s="85"/>
    </row>
    <row r="24" ht="28.5" customHeight="1" spans="1:20">
      <c r="A24" s="94" t="s">
        <v>53</v>
      </c>
      <c r="B24" s="95">
        <f>SUM(B4:B23)</f>
        <v>1683</v>
      </c>
      <c r="C24" s="96"/>
      <c r="D24" s="97"/>
      <c r="E24" s="95">
        <f>SUM(E4:E23)</f>
        <v>16472</v>
      </c>
      <c r="F24" s="96"/>
      <c r="G24" s="97"/>
      <c r="H24" s="98"/>
    </row>
    <row r="25" customHeight="1" spans="1:20">
      <c r="G25" s="76" t="s">
        <v>97</v>
      </c>
      <c r="H25" s="77"/>
    </row>
  </sheetData>
  <mergeCells count="89">
    <mergeCell ref="A1:H1"/>
    <mergeCell ref="A2:H2"/>
    <mergeCell ref="B3:C3"/>
    <mergeCell ref="E3:F3"/>
    <mergeCell ref="R3:S3"/>
    <mergeCell ref="B4:C4"/>
    <mergeCell ref="E4:F4"/>
    <mergeCell ref="R4:S4"/>
    <mergeCell ref="B5:C5"/>
    <mergeCell ref="E5:F5"/>
    <mergeCell ref="R5:S5"/>
    <mergeCell ref="B6:C6"/>
    <mergeCell ref="E6:F6"/>
    <mergeCell ref="L6:M6"/>
    <mergeCell ref="O6:P6"/>
    <mergeCell ref="R6:S6"/>
    <mergeCell ref="B7:C7"/>
    <mergeCell ref="E7:F7"/>
    <mergeCell ref="K7:L7"/>
    <mergeCell ref="N7:O7"/>
    <mergeCell ref="R7:S7"/>
    <mergeCell ref="B8:C8"/>
    <mergeCell ref="E8:F8"/>
    <mergeCell ref="K8:L8"/>
    <mergeCell ref="N8:O8"/>
    <mergeCell ref="R8:S8"/>
    <mergeCell ref="B9:C9"/>
    <mergeCell ref="E9:F9"/>
    <mergeCell ref="R9:S9"/>
    <mergeCell ref="B10:C10"/>
    <mergeCell ref="E10:F10"/>
    <mergeCell ref="K10:L10"/>
    <mergeCell ref="N10:O10"/>
    <mergeCell ref="R10:S10"/>
    <mergeCell ref="B11:C11"/>
    <mergeCell ref="E11:F11"/>
    <mergeCell ref="K11:L11"/>
    <mergeCell ref="N11:O11"/>
    <mergeCell ref="R11:S11"/>
    <mergeCell ref="B12:C12"/>
    <mergeCell ref="E12:F12"/>
    <mergeCell ref="L12:M12"/>
    <mergeCell ref="O12:P12"/>
    <mergeCell ref="R12:S12"/>
    <mergeCell ref="B13:C13"/>
    <mergeCell ref="E13:F13"/>
    <mergeCell ref="R13:S13"/>
    <mergeCell ref="B14:C14"/>
    <mergeCell ref="E14:F14"/>
    <mergeCell ref="K14:L14"/>
    <mergeCell ref="N14:O14"/>
    <mergeCell ref="R14:S14"/>
    <mergeCell ref="B15:C15"/>
    <mergeCell ref="E15:F15"/>
    <mergeCell ref="R15:S15"/>
    <mergeCell ref="B16:C16"/>
    <mergeCell ref="E16:F16"/>
    <mergeCell ref="K16:L16"/>
    <mergeCell ref="N16:O16"/>
    <mergeCell ref="R16:S16"/>
    <mergeCell ref="B17:C17"/>
    <mergeCell ref="E17:F17"/>
    <mergeCell ref="R17:S17"/>
    <mergeCell ref="B18:C18"/>
    <mergeCell ref="E18:F18"/>
    <mergeCell ref="L18:M18"/>
    <mergeCell ref="O18:P18"/>
    <mergeCell ref="R18:S18"/>
    <mergeCell ref="B19:C19"/>
    <mergeCell ref="E19:F19"/>
    <mergeCell ref="L19:M19"/>
    <mergeCell ref="O19:P19"/>
    <mergeCell ref="B20:C20"/>
    <mergeCell ref="E20:F20"/>
    <mergeCell ref="L20:M20"/>
    <mergeCell ref="O20:P20"/>
    <mergeCell ref="B21:C21"/>
    <mergeCell ref="E21:F21"/>
    <mergeCell ref="K21:L21"/>
    <mergeCell ref="N21:O21"/>
    <mergeCell ref="B22:C22"/>
    <mergeCell ref="E22:F22"/>
    <mergeCell ref="K22:L22"/>
    <mergeCell ref="N22:O22"/>
    <mergeCell ref="B23:C23"/>
    <mergeCell ref="E23:F23"/>
    <mergeCell ref="B24:C24"/>
    <mergeCell ref="E24:F24"/>
    <mergeCell ref="G25:H25"/>
  </mergeCells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workbookViewId="0">
      <selection activeCell="G12" sqref="G12"/>
    </sheetView>
  </sheetViews>
  <sheetFormatPr defaultColWidth="9" defaultRowHeight="13.5"/>
  <cols>
    <col min="1" max="1" width="11.25" customWidth="1"/>
    <col min="2" max="2" width="9.375" customWidth="1"/>
    <col min="3" max="6" width="13.25" customWidth="1"/>
    <col min="7" max="7" width="16.875" customWidth="1"/>
  </cols>
  <sheetData>
    <row r="1" ht="27" customHeight="1" spans="1:31">
      <c r="A1" s="46" t="s">
        <v>98</v>
      </c>
      <c r="B1" s="46"/>
      <c r="C1" s="46"/>
      <c r="D1" s="46"/>
      <c r="E1" s="46"/>
      <c r="F1" s="46"/>
      <c r="G1" s="46"/>
      <c r="H1" s="47"/>
      <c r="I1" s="48"/>
      <c r="J1" s="48"/>
      <c r="K1" s="47"/>
      <c r="L1" s="48"/>
      <c r="M1" s="48"/>
      <c r="N1" s="47"/>
      <c r="O1" s="48"/>
      <c r="P1" s="47"/>
      <c r="Q1" s="47"/>
      <c r="R1" s="49"/>
      <c r="S1" s="50"/>
      <c r="T1" s="51"/>
      <c r="U1" s="50"/>
      <c r="V1" s="51"/>
      <c r="W1" s="50"/>
      <c r="X1" s="51"/>
      <c r="Y1" s="50"/>
      <c r="Z1" s="50"/>
      <c r="AA1" s="50"/>
      <c r="AB1" s="50"/>
      <c r="AC1" s="52"/>
      <c r="AD1" s="52"/>
      <c r="AE1" s="52"/>
    </row>
    <row r="2" ht="18" customHeight="1" spans="1:31">
      <c r="A2" s="53" t="s">
        <v>99</v>
      </c>
      <c r="B2" s="53"/>
      <c r="C2" s="53"/>
      <c r="D2" s="53"/>
      <c r="E2" s="53"/>
      <c r="F2" s="53"/>
      <c r="G2" s="53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="45" customFormat="1" ht="21" customHeight="1" spans="1:31">
      <c r="A3" s="55" t="s">
        <v>44</v>
      </c>
      <c r="B3" s="56" t="s">
        <v>4</v>
      </c>
      <c r="C3" s="56" t="s">
        <v>100</v>
      </c>
      <c r="D3" s="56" t="s">
        <v>101</v>
      </c>
      <c r="E3" s="56" t="s">
        <v>102</v>
      </c>
      <c r="F3" s="56" t="s">
        <v>103</v>
      </c>
      <c r="G3" s="57" t="s">
        <v>104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ht="22.5" customHeight="1" spans="1:31">
      <c r="A4" s="59" t="s">
        <v>19</v>
      </c>
      <c r="B4" s="60" t="s">
        <v>20</v>
      </c>
      <c r="C4" s="61">
        <v>79</v>
      </c>
      <c r="D4" s="61">
        <v>285</v>
      </c>
      <c r="E4" s="61">
        <v>36</v>
      </c>
      <c r="F4" s="61">
        <v>55</v>
      </c>
      <c r="G4" s="62">
        <v>455</v>
      </c>
    </row>
    <row r="5" ht="22.5" customHeight="1" spans="1:31">
      <c r="A5" s="59"/>
      <c r="B5" s="60" t="s">
        <v>21</v>
      </c>
      <c r="C5" s="63">
        <f>C4/C28</f>
        <v>0.240853658536585</v>
      </c>
      <c r="D5" s="63">
        <f>D4/D28</f>
        <v>0.281899109792285</v>
      </c>
      <c r="E5" s="63">
        <f>E4/E28</f>
        <v>0.31304347826087</v>
      </c>
      <c r="F5" s="63">
        <f>F4/F28</f>
        <v>0.240174672489083</v>
      </c>
      <c r="G5" s="64">
        <f>G4/G28</f>
        <v>0.270350564468212</v>
      </c>
    </row>
    <row r="6" ht="22.5" customHeight="1" spans="1:31">
      <c r="A6" s="59"/>
      <c r="B6" s="60" t="s">
        <v>22</v>
      </c>
      <c r="C6" s="63">
        <f>C4/C32</f>
        <v>0.106756756756757</v>
      </c>
      <c r="D6" s="63">
        <f>D4/D32</f>
        <v>0.192828146143437</v>
      </c>
      <c r="E6" s="63">
        <f>E4/E32</f>
        <v>0.23841059602649</v>
      </c>
      <c r="F6" s="63">
        <f>F4/F32</f>
        <v>0.144356955380577</v>
      </c>
      <c r="G6" s="65">
        <f>G4/G32</f>
        <v>0.165454545454545</v>
      </c>
    </row>
    <row r="7" ht="22.5" customHeight="1" spans="1:31">
      <c r="A7" s="59" t="s">
        <v>23</v>
      </c>
      <c r="B7" s="60" t="s">
        <v>20</v>
      </c>
      <c r="C7" s="61">
        <v>109</v>
      </c>
      <c r="D7" s="61">
        <v>325</v>
      </c>
      <c r="E7" s="61">
        <v>28</v>
      </c>
      <c r="F7" s="61">
        <v>57</v>
      </c>
      <c r="G7" s="62">
        <v>519</v>
      </c>
    </row>
    <row r="8" ht="22.5" customHeight="1" spans="1:31">
      <c r="A8" s="59"/>
      <c r="B8" s="60" t="s">
        <v>21</v>
      </c>
      <c r="C8" s="63">
        <f>C7/C28</f>
        <v>0.332317073170732</v>
      </c>
      <c r="D8" s="63">
        <f>D7/D28</f>
        <v>0.321463897131553</v>
      </c>
      <c r="E8" s="63">
        <f>E7/E28</f>
        <v>0.243478260869565</v>
      </c>
      <c r="F8" s="63">
        <f>F7/F28</f>
        <v>0.248908296943231</v>
      </c>
      <c r="G8" s="65">
        <f>G7/G28</f>
        <v>0.308377896613191</v>
      </c>
    </row>
    <row r="9" ht="22.5" customHeight="1" spans="1:31">
      <c r="A9" s="59"/>
      <c r="B9" s="60" t="s">
        <v>22</v>
      </c>
      <c r="C9" s="63">
        <f>C7/C32</f>
        <v>0.147297297297297</v>
      </c>
      <c r="D9" s="63">
        <f>D7/D32</f>
        <v>0.219891745602165</v>
      </c>
      <c r="E9" s="63">
        <f>E7/E32</f>
        <v>0.185430463576159</v>
      </c>
      <c r="F9" s="63">
        <f>F7/F32</f>
        <v>0.149606299212598</v>
      </c>
      <c r="G9" s="65">
        <f>G7/G32</f>
        <v>0.188727272727273</v>
      </c>
    </row>
    <row r="10" ht="22.5" customHeight="1" spans="1:31">
      <c r="A10" s="59" t="s">
        <v>24</v>
      </c>
      <c r="B10" s="60" t="s">
        <v>20</v>
      </c>
      <c r="C10" s="61">
        <v>50</v>
      </c>
      <c r="D10" s="61">
        <v>114</v>
      </c>
      <c r="E10" s="61">
        <v>33</v>
      </c>
      <c r="F10" s="61">
        <v>72</v>
      </c>
      <c r="G10" s="62">
        <v>269</v>
      </c>
    </row>
    <row r="11" ht="22.5" customHeight="1" spans="1:31">
      <c r="A11" s="59"/>
      <c r="B11" s="60" t="s">
        <v>21</v>
      </c>
      <c r="C11" s="63">
        <f>C10/C28</f>
        <v>0.152439024390244</v>
      </c>
      <c r="D11" s="63">
        <f>D10/D28</f>
        <v>0.112759643916914</v>
      </c>
      <c r="E11" s="63">
        <f>E10/E28</f>
        <v>0.28695652173913</v>
      </c>
      <c r="F11" s="63">
        <f>F10/F28</f>
        <v>0.314410480349345</v>
      </c>
      <c r="G11" s="65">
        <f>G10/G28</f>
        <v>0.159833630421866</v>
      </c>
    </row>
    <row r="12" ht="22.5" customHeight="1" spans="1:31">
      <c r="A12" s="59"/>
      <c r="B12" s="60" t="s">
        <v>22</v>
      </c>
      <c r="C12" s="63">
        <f>C10/C32</f>
        <v>0.0675675675675676</v>
      </c>
      <c r="D12" s="63">
        <f>D10/D32</f>
        <v>0.0771312584573748</v>
      </c>
      <c r="E12" s="63">
        <f>E10/E32</f>
        <v>0.218543046357616</v>
      </c>
      <c r="F12" s="63">
        <f>F10/F32</f>
        <v>0.188976377952756</v>
      </c>
      <c r="G12" s="65">
        <f>G10/G32</f>
        <v>0.0978181818181818</v>
      </c>
    </row>
    <row r="13" ht="22.5" customHeight="1" spans="1:31">
      <c r="A13" s="59" t="s">
        <v>25</v>
      </c>
      <c r="B13" s="60" t="s">
        <v>20</v>
      </c>
      <c r="C13" s="61">
        <v>46</v>
      </c>
      <c r="D13" s="61">
        <v>41</v>
      </c>
      <c r="E13" s="61">
        <v>0</v>
      </c>
      <c r="F13" s="61">
        <v>2</v>
      </c>
      <c r="G13" s="62">
        <v>89</v>
      </c>
    </row>
    <row r="14" ht="22.5" customHeight="1" spans="1:31">
      <c r="A14" s="59"/>
      <c r="B14" s="60" t="s">
        <v>21</v>
      </c>
      <c r="C14" s="63">
        <f>C13/C28</f>
        <v>0.140243902439024</v>
      </c>
      <c r="D14" s="63">
        <f>D13/D28</f>
        <v>0.0405539070227498</v>
      </c>
      <c r="E14" s="63">
        <f>E13/E28</f>
        <v>0</v>
      </c>
      <c r="F14" s="63">
        <f>F13/F28</f>
        <v>0.00873362445414847</v>
      </c>
      <c r="G14" s="65">
        <f>G13/G28</f>
        <v>0.0528817587641117</v>
      </c>
    </row>
    <row r="15" ht="22.5" customHeight="1" spans="1:31">
      <c r="A15" s="59"/>
      <c r="B15" s="60" t="s">
        <v>22</v>
      </c>
      <c r="C15" s="63">
        <f>C13/C32</f>
        <v>0.0621621621621622</v>
      </c>
      <c r="D15" s="63">
        <f>D13/D32</f>
        <v>0.0277401894451962</v>
      </c>
      <c r="E15" s="63">
        <f>E13/E32</f>
        <v>0</v>
      </c>
      <c r="F15" s="63">
        <f>F13/F32</f>
        <v>0.005249343832021</v>
      </c>
      <c r="G15" s="65">
        <f>G13/G32</f>
        <v>0.0323636363636364</v>
      </c>
    </row>
    <row r="16" ht="22.5" customHeight="1" spans="1:31">
      <c r="A16" s="59" t="s">
        <v>26</v>
      </c>
      <c r="B16" s="60" t="s">
        <v>20</v>
      </c>
      <c r="C16" s="61">
        <v>4</v>
      </c>
      <c r="D16" s="61">
        <v>44</v>
      </c>
      <c r="E16" s="61">
        <v>0</v>
      </c>
      <c r="F16" s="61">
        <v>0</v>
      </c>
      <c r="G16" s="62">
        <v>48</v>
      </c>
    </row>
    <row r="17" ht="22.5" customHeight="1" spans="1:7">
      <c r="A17" s="59"/>
      <c r="B17" s="60" t="s">
        <v>21</v>
      </c>
      <c r="C17" s="63">
        <f>C16/C28</f>
        <v>0.0121951219512195</v>
      </c>
      <c r="D17" s="63">
        <f>D16/D28</f>
        <v>0.0435212660731949</v>
      </c>
      <c r="E17" s="63">
        <f>E16/E28</f>
        <v>0</v>
      </c>
      <c r="F17" s="63">
        <f>F16/F28</f>
        <v>0</v>
      </c>
      <c r="G17" s="65">
        <f>G16/G28</f>
        <v>0.0285204991087344</v>
      </c>
    </row>
    <row r="18" ht="22.5" customHeight="1" spans="1:7">
      <c r="A18" s="59"/>
      <c r="B18" s="60" t="s">
        <v>22</v>
      </c>
      <c r="C18" s="63">
        <f>C16/C32</f>
        <v>0.00540540540540541</v>
      </c>
      <c r="D18" s="63">
        <f>D16/D32</f>
        <v>0.0297699594046008</v>
      </c>
      <c r="E18" s="63">
        <f>E16/E32</f>
        <v>0</v>
      </c>
      <c r="F18" s="63">
        <f>F16/F32</f>
        <v>0</v>
      </c>
      <c r="G18" s="65">
        <f>G16/G32</f>
        <v>0.0174545454545455</v>
      </c>
    </row>
    <row r="19" ht="22.5" customHeight="1" spans="1:7">
      <c r="A19" s="66" t="s">
        <v>27</v>
      </c>
      <c r="B19" s="60" t="s">
        <v>20</v>
      </c>
      <c r="C19" s="61">
        <v>3</v>
      </c>
      <c r="D19" s="61">
        <v>32</v>
      </c>
      <c r="E19" s="61">
        <v>1</v>
      </c>
      <c r="F19" s="61">
        <v>1</v>
      </c>
      <c r="G19" s="62">
        <v>37</v>
      </c>
    </row>
    <row r="20" ht="22.5" customHeight="1" spans="1:7">
      <c r="A20" s="67"/>
      <c r="B20" s="60" t="s">
        <v>21</v>
      </c>
      <c r="C20" s="63">
        <f>C19/C28</f>
        <v>0.00914634146341463</v>
      </c>
      <c r="D20" s="63">
        <f>D19/D28</f>
        <v>0.0316518298714144</v>
      </c>
      <c r="E20" s="63">
        <f>E19/E28</f>
        <v>0.00869565217391304</v>
      </c>
      <c r="F20" s="63">
        <f>F19/F28</f>
        <v>0.00436681222707424</v>
      </c>
      <c r="G20" s="65">
        <f>G19/G28</f>
        <v>0.0219845513963161</v>
      </c>
    </row>
    <row r="21" ht="22.5" customHeight="1" spans="1:7">
      <c r="A21" s="68"/>
      <c r="B21" s="60" t="s">
        <v>22</v>
      </c>
      <c r="C21" s="63">
        <f>C19/C32</f>
        <v>0.00405405405405405</v>
      </c>
      <c r="D21" s="63">
        <f>D19/D32</f>
        <v>0.0216508795669824</v>
      </c>
      <c r="E21" s="63">
        <f>E19/E32</f>
        <v>0.00662251655629139</v>
      </c>
      <c r="F21" s="63">
        <f>F19/F32</f>
        <v>0.0026246719160105</v>
      </c>
      <c r="G21" s="65">
        <f>G19/G32</f>
        <v>0.0134545454545455</v>
      </c>
    </row>
    <row r="22" ht="22.5" customHeight="1" spans="1:7">
      <c r="A22" s="66" t="s">
        <v>29</v>
      </c>
      <c r="B22" s="60" t="s">
        <v>20</v>
      </c>
      <c r="C22" s="61">
        <v>34</v>
      </c>
      <c r="D22" s="61">
        <v>140</v>
      </c>
      <c r="E22" s="61">
        <v>17</v>
      </c>
      <c r="F22" s="61">
        <v>39</v>
      </c>
      <c r="G22" s="62">
        <v>230</v>
      </c>
    </row>
    <row r="23" ht="22.5" customHeight="1" spans="1:7">
      <c r="A23" s="67"/>
      <c r="B23" s="60" t="s">
        <v>21</v>
      </c>
      <c r="C23" s="63">
        <f>C22/C28</f>
        <v>0.103658536585366</v>
      </c>
      <c r="D23" s="63">
        <f>D22/D28</f>
        <v>0.138476755687438</v>
      </c>
      <c r="E23" s="63">
        <f>E22/E28</f>
        <v>0.147826086956522</v>
      </c>
      <c r="F23" s="63">
        <f>F22/F28</f>
        <v>0.170305676855895</v>
      </c>
      <c r="G23" s="65">
        <f>G22/G28</f>
        <v>0.136660724896019</v>
      </c>
    </row>
    <row r="24" ht="22.5" customHeight="1" spans="1:7">
      <c r="A24" s="68"/>
      <c r="B24" s="60" t="s">
        <v>22</v>
      </c>
      <c r="C24" s="63">
        <f>C22/C32</f>
        <v>0.0459459459459459</v>
      </c>
      <c r="D24" s="63">
        <f>D22/D32</f>
        <v>0.094722598105548</v>
      </c>
      <c r="E24" s="63">
        <f>E22/E32</f>
        <v>0.112582781456954</v>
      </c>
      <c r="F24" s="63">
        <f>F22/F32</f>
        <v>0.102362204724409</v>
      </c>
      <c r="G24" s="65">
        <f>G22/G32</f>
        <v>0.0836363636363636</v>
      </c>
    </row>
    <row r="25" ht="22.5" customHeight="1" spans="1:7">
      <c r="A25" s="66" t="s">
        <v>32</v>
      </c>
      <c r="B25" s="60" t="s">
        <v>20</v>
      </c>
      <c r="C25" s="61">
        <v>3</v>
      </c>
      <c r="D25" s="61">
        <v>30</v>
      </c>
      <c r="E25" s="61">
        <v>0</v>
      </c>
      <c r="F25" s="61">
        <v>3</v>
      </c>
      <c r="G25" s="62">
        <v>36</v>
      </c>
    </row>
    <row r="26" ht="22.5" customHeight="1" spans="1:7">
      <c r="A26" s="67"/>
      <c r="B26" s="60" t="s">
        <v>21</v>
      </c>
      <c r="C26" s="63">
        <f>C25/C28</f>
        <v>0.00914634146341463</v>
      </c>
      <c r="D26" s="63">
        <f>D25/D28</f>
        <v>0.029673590504451</v>
      </c>
      <c r="E26" s="63">
        <f>E25/E28</f>
        <v>0</v>
      </c>
      <c r="F26" s="63">
        <f>F25/F28</f>
        <v>0.0131004366812227</v>
      </c>
      <c r="G26" s="65">
        <f>G25/G28</f>
        <v>0.0213903743315508</v>
      </c>
    </row>
    <row r="27" ht="22.5" customHeight="1" spans="1:7">
      <c r="A27" s="68"/>
      <c r="B27" s="60" t="s">
        <v>22</v>
      </c>
      <c r="C27" s="63">
        <f>C25/C32</f>
        <v>0.00405405405405405</v>
      </c>
      <c r="D27" s="63">
        <f>D25/D32</f>
        <v>0.020297699594046</v>
      </c>
      <c r="E27" s="63">
        <f>E25/E32</f>
        <v>0</v>
      </c>
      <c r="F27" s="63">
        <f>F25/F32</f>
        <v>0.0078740157480315</v>
      </c>
      <c r="G27" s="65">
        <f>G25/G32</f>
        <v>0.0130909090909091</v>
      </c>
    </row>
    <row r="28" ht="22.5" customHeight="1" spans="1:7">
      <c r="A28" s="59" t="s">
        <v>33</v>
      </c>
      <c r="B28" s="60" t="s">
        <v>34</v>
      </c>
      <c r="C28" s="61">
        <f>C4+C7+C10+C13+C16+C19+C22+C25</f>
        <v>328</v>
      </c>
      <c r="D28" s="61">
        <f t="shared" ref="D28:G28" si="0">D4+D7+D10+D13+D16+D19+D22+D25</f>
        <v>1011</v>
      </c>
      <c r="E28" s="61">
        <f t="shared" si="0"/>
        <v>115</v>
      </c>
      <c r="F28" s="61">
        <f t="shared" si="0"/>
        <v>229</v>
      </c>
      <c r="G28" s="62">
        <f t="shared" si="0"/>
        <v>1683</v>
      </c>
    </row>
    <row r="29" ht="22.5" customHeight="1" spans="1:7">
      <c r="A29" s="59"/>
      <c r="B29" s="60" t="s">
        <v>22</v>
      </c>
      <c r="C29" s="63">
        <f>C28/C32</f>
        <v>0.443243243243243</v>
      </c>
      <c r="D29" s="63">
        <f>D28/D32</f>
        <v>0.68403247631935</v>
      </c>
      <c r="E29" s="63">
        <f>E28/E32</f>
        <v>0.76158940397351</v>
      </c>
      <c r="F29" s="63">
        <f>F28/F32</f>
        <v>0.601049868766404</v>
      </c>
      <c r="G29" s="65">
        <f>G28/G32</f>
        <v>0.612</v>
      </c>
    </row>
    <row r="30" ht="22.5" customHeight="1" spans="1:7">
      <c r="A30" s="59" t="s">
        <v>37</v>
      </c>
      <c r="B30" s="60" t="s">
        <v>34</v>
      </c>
      <c r="C30" s="61">
        <v>412</v>
      </c>
      <c r="D30" s="61">
        <v>467</v>
      </c>
      <c r="E30" s="61">
        <v>36</v>
      </c>
      <c r="F30" s="61">
        <v>152</v>
      </c>
      <c r="G30" s="62">
        <f>SUM(C30:F30)</f>
        <v>1067</v>
      </c>
    </row>
    <row r="31" ht="22.5" customHeight="1" spans="1:7">
      <c r="A31" s="66"/>
      <c r="B31" s="69" t="s">
        <v>22</v>
      </c>
      <c r="C31" s="70">
        <f>C30/C32</f>
        <v>0.556756756756757</v>
      </c>
      <c r="D31" s="70">
        <f>D30/D32</f>
        <v>0.31596752368065</v>
      </c>
      <c r="E31" s="70">
        <f>E30/E32</f>
        <v>0.23841059602649</v>
      </c>
      <c r="F31" s="70">
        <f>F30/F32</f>
        <v>0.398950131233596</v>
      </c>
      <c r="G31" s="71">
        <f>G30/G32</f>
        <v>0.388</v>
      </c>
    </row>
    <row r="32" ht="22.5" customHeight="1" spans="1:7">
      <c r="A32" s="72" t="s">
        <v>105</v>
      </c>
      <c r="B32" s="73"/>
      <c r="C32" s="74">
        <f>C28+C30</f>
        <v>740</v>
      </c>
      <c r="D32" s="74">
        <f t="shared" ref="D32:G32" si="1">D28+D30</f>
        <v>1478</v>
      </c>
      <c r="E32" s="74">
        <f t="shared" si="1"/>
        <v>151</v>
      </c>
      <c r="F32" s="74">
        <f t="shared" si="1"/>
        <v>381</v>
      </c>
      <c r="G32" s="75">
        <f t="shared" si="1"/>
        <v>2750</v>
      </c>
    </row>
    <row r="33" ht="19.5" customHeight="1" spans="6:7">
      <c r="F33" s="76" t="s">
        <v>106</v>
      </c>
      <c r="G33" s="77"/>
    </row>
  </sheetData>
  <mergeCells count="13">
    <mergeCell ref="A1:G1"/>
    <mergeCell ref="A2:G2"/>
    <mergeCell ref="F33:G33"/>
    <mergeCell ref="A4:A6"/>
    <mergeCell ref="A7:A9"/>
    <mergeCell ref="A10:A12"/>
    <mergeCell ref="A13:A15"/>
    <mergeCell ref="A16:A18"/>
    <mergeCell ref="A19:A21"/>
    <mergeCell ref="A22:A24"/>
    <mergeCell ref="A25:A27"/>
    <mergeCell ref="A28:A29"/>
    <mergeCell ref="A30:A31"/>
  </mergeCells>
  <pageMargins left="0.61" right="0.35" top="0.67" bottom="0.64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workbookViewId="0">
      <selection activeCell="A1" sqref="A1:M1"/>
    </sheetView>
  </sheetViews>
  <sheetFormatPr defaultColWidth="9" defaultRowHeight="13.5"/>
  <cols>
    <col min="1" max="1" width="8.875" customWidth="1"/>
    <col min="2" max="2" width="21.25" customWidth="1"/>
    <col min="3" max="3" width="5.625" customWidth="1"/>
    <col min="4" max="4" width="13.75" customWidth="1"/>
    <col min="5" max="5" width="9.875" customWidth="1"/>
    <col min="6" max="6" width="5.625" customWidth="1"/>
    <col min="7" max="8" width="12.25" customWidth="1"/>
    <col min="9" max="10" width="5.625" customWidth="1"/>
    <col min="11" max="11" width="12.25" customWidth="1"/>
    <col min="12" max="12" width="9.125" customWidth="1"/>
    <col min="13" max="13" width="12.5" customWidth="1"/>
  </cols>
  <sheetData>
    <row r="1" ht="31.5" spans="1:13">
      <c r="A1" s="27" t="s">
        <v>107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ht="31.5" spans="1:13">
      <c r="A2" s="27"/>
      <c r="B2" s="27"/>
      <c r="C2" s="27"/>
      <c r="D2" s="27"/>
      <c r="E2" s="27"/>
      <c r="F2" s="27"/>
      <c r="G2" s="27"/>
      <c r="H2" s="27"/>
      <c r="I2" s="27"/>
      <c r="J2" s="27"/>
      <c r="K2" s="28" t="s">
        <v>108</v>
      </c>
      <c r="L2" s="28"/>
      <c r="M2" s="28" t="s">
        <v>109</v>
      </c>
    </row>
    <row r="3" ht="14.25" spans="1:13">
      <c r="A3" s="29" t="s">
        <v>110</v>
      </c>
      <c r="B3" s="30" t="s">
        <v>111</v>
      </c>
      <c r="C3" s="31" t="s">
        <v>112</v>
      </c>
      <c r="D3" s="31"/>
      <c r="E3" s="31"/>
      <c r="F3" s="31"/>
      <c r="G3" s="31"/>
      <c r="H3" s="31"/>
      <c r="I3" s="31"/>
      <c r="J3" s="31"/>
      <c r="K3" s="30" t="s">
        <v>113</v>
      </c>
      <c r="L3" s="32" t="s">
        <v>114</v>
      </c>
      <c r="M3" s="30" t="s">
        <v>115</v>
      </c>
    </row>
    <row r="4" ht="14.25" spans="1:13">
      <c r="A4" s="33"/>
      <c r="B4" s="30"/>
      <c r="C4" s="34" t="s">
        <v>116</v>
      </c>
      <c r="D4" s="34" t="s">
        <v>117</v>
      </c>
      <c r="E4" s="34" t="s">
        <v>118</v>
      </c>
      <c r="F4" s="34" t="s">
        <v>119</v>
      </c>
      <c r="G4" s="34" t="s">
        <v>120</v>
      </c>
      <c r="H4" s="34" t="s">
        <v>121</v>
      </c>
      <c r="I4" s="34" t="s">
        <v>122</v>
      </c>
      <c r="J4" s="34" t="s">
        <v>53</v>
      </c>
      <c r="K4" s="30"/>
      <c r="L4" s="35"/>
      <c r="M4" s="30"/>
    </row>
    <row r="5" spans="1:13">
      <c r="A5" s="36" t="s">
        <v>100</v>
      </c>
      <c r="B5" s="37" t="s">
        <v>123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>
      <c r="A6" s="39"/>
      <c r="B6" s="40" t="s">
        <v>124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>
      <c r="A7" s="39"/>
      <c r="B7" s="42" t="s">
        <v>125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>
      <c r="A8" s="39"/>
      <c r="B8" s="42" t="s">
        <v>126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3">
      <c r="A9" s="39"/>
      <c r="B9" s="42" t="s">
        <v>127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>
      <c r="A10" s="39"/>
      <c r="B10" s="42" t="s">
        <v>128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1:13">
      <c r="A11" s="39"/>
      <c r="B11" s="42" t="s">
        <v>129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A12" s="39"/>
      <c r="B12" s="42" t="s">
        <v>130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A13" s="39"/>
      <c r="B13" s="42" t="s">
        <v>131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A14" s="39"/>
      <c r="B14" s="42" t="s">
        <v>132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A15" s="39"/>
      <c r="B15" s="42" t="s">
        <v>133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A16" s="39"/>
      <c r="B16" s="42" t="s">
        <v>134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spans="1:13">
      <c r="A17" s="39"/>
      <c r="B17" s="42" t="s">
        <v>135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</row>
    <row r="18" spans="1:13">
      <c r="A18" s="39"/>
      <c r="B18" s="42" t="s">
        <v>136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</row>
    <row r="19" spans="1:13">
      <c r="A19" s="39"/>
      <c r="B19" s="42" t="s">
        <v>137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3">
      <c r="A20" s="39"/>
      <c r="B20" s="42" t="s">
        <v>138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spans="1:13">
      <c r="A21" s="43"/>
      <c r="B21" s="42" t="s">
        <v>139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3">
      <c r="A22" s="44" t="s">
        <v>101</v>
      </c>
      <c r="B22" s="37" t="s">
        <v>140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3">
      <c r="A23" s="44"/>
      <c r="B23" s="37" t="s">
        <v>141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</row>
    <row r="24" spans="1:13">
      <c r="A24" s="44"/>
      <c r="B24" s="37" t="s">
        <v>142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spans="1:13">
      <c r="A25" s="44"/>
      <c r="B25" s="37" t="s">
        <v>143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</row>
    <row r="26" spans="1:13">
      <c r="A26" s="44"/>
      <c r="B26" s="37" t="s">
        <v>144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</row>
    <row r="27" spans="1:13">
      <c r="A27" s="44"/>
      <c r="B27" s="37" t="s">
        <v>145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</row>
    <row r="28" spans="1:13">
      <c r="A28" s="44"/>
      <c r="B28" s="37" t="s">
        <v>146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29" spans="1:13">
      <c r="A29" s="44"/>
      <c r="B29" s="37" t="s">
        <v>147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spans="1:13">
      <c r="A30" s="44"/>
      <c r="B30" s="37" t="s">
        <v>148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spans="1:13">
      <c r="A31" s="44"/>
      <c r="B31" s="37" t="s">
        <v>149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spans="1:13">
      <c r="A32" s="44"/>
      <c r="B32" s="37" t="s">
        <v>150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spans="1:13">
      <c r="A33" s="44"/>
      <c r="B33" s="37" t="s">
        <v>151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  <row r="34" spans="1:13">
      <c r="A34" s="44" t="s">
        <v>152</v>
      </c>
      <c r="B34" s="37" t="s">
        <v>152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spans="1:13">
      <c r="A35" s="44" t="s">
        <v>52</v>
      </c>
      <c r="B35" s="37" t="s">
        <v>153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spans="1:13">
      <c r="A36" s="44"/>
      <c r="B36" s="37" t="s">
        <v>154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spans="1:13">
      <c r="A37" s="44"/>
      <c r="B37" s="37" t="s">
        <v>155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</row>
    <row r="38" spans="1:13">
      <c r="A38" s="44"/>
      <c r="B38" s="37" t="s">
        <v>156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</row>
    <row r="39" spans="1:13">
      <c r="A39" s="44"/>
      <c r="B39" s="37" t="s">
        <v>157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spans="1:13">
      <c r="A40" s="44" t="s">
        <v>158</v>
      </c>
      <c r="B40" s="37" t="s">
        <v>159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</row>
    <row r="41" spans="1:13">
      <c r="A41" s="44"/>
      <c r="B41" s="37" t="s">
        <v>160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1:13">
      <c r="A42" s="44"/>
      <c r="B42" s="37" t="s">
        <v>161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</row>
    <row r="43" spans="1:13">
      <c r="A43" s="44"/>
      <c r="B43" s="37" t="s">
        <v>162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</row>
    <row r="44" ht="14.25" spans="1:13">
      <c r="A44" s="34" t="s">
        <v>163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41"/>
    </row>
  </sheetData>
  <mergeCells count="12">
    <mergeCell ref="A1:M1"/>
    <mergeCell ref="C3:J3"/>
    <mergeCell ref="A44:B44"/>
    <mergeCell ref="A3:A4"/>
    <mergeCell ref="A5:A21"/>
    <mergeCell ref="A22:A33"/>
    <mergeCell ref="A35:A39"/>
    <mergeCell ref="A40:A43"/>
    <mergeCell ref="B3:B4"/>
    <mergeCell ref="K3:K4"/>
    <mergeCell ref="L3:L4"/>
    <mergeCell ref="M3:M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workbookViewId="0">
      <selection activeCell="C12" sqref="C12"/>
    </sheetView>
  </sheetViews>
  <sheetFormatPr defaultColWidth="9" defaultRowHeight="13.5"/>
  <cols>
    <col min="1" max="1" width="16.75" style="3" customWidth="1"/>
    <col min="2" max="2" width="30.125" style="3" customWidth="1"/>
    <col min="3" max="5" width="13.125" style="4" customWidth="1"/>
    <col min="6" max="6" width="13.125" style="5" customWidth="1"/>
    <col min="7" max="8" width="13.125" style="4" customWidth="1"/>
    <col min="9" max="9" width="11.5" style="4" customWidth="1"/>
  </cols>
  <sheetData>
    <row r="1" ht="31.5" spans="1:9">
      <c r="A1" s="6" t="s">
        <v>164</v>
      </c>
      <c r="B1" s="6"/>
      <c r="C1" s="6"/>
      <c r="D1" s="6"/>
      <c r="E1" s="6"/>
      <c r="F1" s="6"/>
      <c r="G1" s="6"/>
      <c r="H1" s="6"/>
      <c r="I1" s="6"/>
    </row>
    <row r="2" ht="14.25" spans="1:9">
      <c r="A2" s="7" t="s">
        <v>110</v>
      </c>
      <c r="B2" s="8" t="s">
        <v>111</v>
      </c>
      <c r="C2" s="9" t="s">
        <v>165</v>
      </c>
      <c r="D2" s="10" t="s">
        <v>166</v>
      </c>
      <c r="E2" s="9" t="s">
        <v>167</v>
      </c>
      <c r="F2" s="11" t="s">
        <v>168</v>
      </c>
      <c r="G2" s="12" t="s">
        <v>169</v>
      </c>
      <c r="H2" s="12" t="s">
        <v>170</v>
      </c>
      <c r="I2" s="12" t="s">
        <v>171</v>
      </c>
    </row>
    <row r="3" spans="1:9">
      <c r="A3" s="13" t="s">
        <v>100</v>
      </c>
      <c r="B3" s="14" t="s">
        <v>123</v>
      </c>
      <c r="C3" s="15"/>
      <c r="D3" s="15"/>
      <c r="E3" s="16"/>
      <c r="F3" s="15"/>
      <c r="G3" s="17"/>
      <c r="H3" s="17"/>
      <c r="I3" s="17"/>
    </row>
    <row r="4" spans="1:9">
      <c r="A4" s="18"/>
      <c r="B4" s="14" t="s">
        <v>124</v>
      </c>
      <c r="C4" s="15"/>
      <c r="D4" s="15"/>
      <c r="E4" s="16"/>
      <c r="F4" s="15"/>
      <c r="G4" s="17"/>
      <c r="H4" s="17"/>
      <c r="I4" s="17"/>
    </row>
    <row r="5" spans="1:9">
      <c r="A5" s="18"/>
      <c r="B5" s="14" t="s">
        <v>125</v>
      </c>
      <c r="C5" s="15"/>
      <c r="D5" s="15"/>
      <c r="E5" s="16"/>
      <c r="F5" s="15"/>
      <c r="G5" s="17"/>
      <c r="H5" s="17"/>
      <c r="I5" s="17"/>
    </row>
    <row r="6" spans="1:9">
      <c r="A6" s="18"/>
      <c r="B6" s="14" t="s">
        <v>126</v>
      </c>
      <c r="C6" s="15"/>
      <c r="D6" s="15"/>
      <c r="E6" s="16"/>
      <c r="F6" s="15"/>
      <c r="G6" s="17"/>
      <c r="H6" s="17"/>
      <c r="I6" s="17"/>
    </row>
    <row r="7" spans="1:9">
      <c r="A7" s="18"/>
      <c r="B7" s="14" t="s">
        <v>127</v>
      </c>
      <c r="C7" s="15"/>
      <c r="D7" s="15"/>
      <c r="E7" s="16"/>
      <c r="F7" s="15"/>
      <c r="G7" s="17"/>
      <c r="H7" s="17"/>
      <c r="I7" s="17"/>
    </row>
    <row r="8" spans="1:9">
      <c r="A8" s="18"/>
      <c r="B8" s="14" t="s">
        <v>128</v>
      </c>
      <c r="C8" s="15"/>
      <c r="D8" s="15"/>
      <c r="E8" s="16"/>
      <c r="F8" s="15"/>
      <c r="G8" s="17"/>
      <c r="H8" s="17"/>
      <c r="I8" s="17"/>
    </row>
    <row r="9" spans="1:9">
      <c r="A9" s="18"/>
      <c r="B9" s="14" t="s">
        <v>129</v>
      </c>
      <c r="C9" s="15"/>
      <c r="D9" s="15"/>
      <c r="E9" s="16"/>
      <c r="F9" s="15"/>
      <c r="G9" s="17"/>
      <c r="H9" s="17"/>
      <c r="I9" s="17"/>
    </row>
    <row r="10" spans="1:9">
      <c r="A10" s="18"/>
      <c r="B10" s="14" t="s">
        <v>130</v>
      </c>
      <c r="C10" s="15"/>
      <c r="D10" s="15"/>
      <c r="E10" s="16"/>
      <c r="F10" s="15"/>
      <c r="G10" s="17"/>
      <c r="H10" s="17"/>
      <c r="I10" s="17"/>
    </row>
    <row r="11" spans="1:9">
      <c r="A11" s="18"/>
      <c r="B11" s="14" t="s">
        <v>131</v>
      </c>
      <c r="C11" s="15"/>
      <c r="D11" s="15"/>
      <c r="E11" s="16"/>
      <c r="F11" s="15"/>
      <c r="G11" s="17"/>
      <c r="H11" s="17"/>
      <c r="I11" s="17"/>
    </row>
    <row r="12" spans="1:9">
      <c r="A12" s="18"/>
      <c r="B12" s="14" t="s">
        <v>132</v>
      </c>
      <c r="C12" s="15"/>
      <c r="D12" s="15"/>
      <c r="E12" s="16"/>
      <c r="F12" s="15"/>
      <c r="G12" s="17"/>
      <c r="H12" s="17"/>
      <c r="I12" s="17"/>
    </row>
    <row r="13" spans="1:9">
      <c r="A13" s="18"/>
      <c r="B13" s="14" t="s">
        <v>133</v>
      </c>
      <c r="C13" s="15"/>
      <c r="D13" s="15"/>
      <c r="E13" s="16"/>
      <c r="F13" s="15"/>
      <c r="G13" s="17"/>
      <c r="H13" s="17"/>
      <c r="I13" s="17"/>
    </row>
    <row r="14" spans="1:9">
      <c r="A14" s="18"/>
      <c r="B14" s="14" t="s">
        <v>134</v>
      </c>
      <c r="C14" s="15"/>
      <c r="D14" s="15"/>
      <c r="E14" s="16"/>
      <c r="F14" s="15"/>
      <c r="G14" s="17"/>
      <c r="H14" s="17"/>
      <c r="I14" s="17"/>
    </row>
    <row r="15" spans="1:9">
      <c r="A15" s="18"/>
      <c r="B15" s="14" t="s">
        <v>135</v>
      </c>
      <c r="C15" s="15"/>
      <c r="D15" s="15"/>
      <c r="E15" s="16"/>
      <c r="F15" s="15"/>
      <c r="G15" s="17"/>
      <c r="H15" s="17"/>
      <c r="I15" s="17"/>
    </row>
    <row r="16" spans="1:9">
      <c r="A16" s="18"/>
      <c r="B16" s="14" t="s">
        <v>136</v>
      </c>
      <c r="C16" s="15"/>
      <c r="D16" s="15"/>
      <c r="E16" s="16"/>
      <c r="F16" s="15"/>
      <c r="G16" s="17"/>
      <c r="H16" s="17"/>
      <c r="I16" s="17"/>
    </row>
    <row r="17" spans="1:9">
      <c r="A17" s="18"/>
      <c r="B17" s="14" t="s">
        <v>137</v>
      </c>
      <c r="C17" s="15"/>
      <c r="D17" s="15"/>
      <c r="E17" s="16"/>
      <c r="F17" s="15"/>
      <c r="G17" s="17"/>
      <c r="H17" s="17"/>
      <c r="I17" s="17"/>
    </row>
    <row r="18" spans="1:9">
      <c r="A18" s="18"/>
      <c r="B18" s="14" t="s">
        <v>138</v>
      </c>
      <c r="C18" s="15"/>
      <c r="D18" s="15"/>
      <c r="E18" s="16"/>
      <c r="F18" s="15"/>
      <c r="G18" s="17"/>
      <c r="H18" s="17"/>
      <c r="I18" s="17"/>
    </row>
    <row r="19" spans="1:9">
      <c r="A19" s="19"/>
      <c r="B19" s="14" t="s">
        <v>139</v>
      </c>
      <c r="C19" s="15"/>
      <c r="D19" s="15"/>
      <c r="E19" s="16"/>
      <c r="F19" s="15"/>
      <c r="G19" s="17"/>
      <c r="H19" s="17"/>
      <c r="I19" s="17"/>
    </row>
    <row r="20" ht="14.25" spans="1:9">
      <c r="A20" s="20" t="s">
        <v>172</v>
      </c>
      <c r="B20" s="21"/>
      <c r="C20" s="22"/>
      <c r="D20" s="22"/>
      <c r="E20" s="23"/>
      <c r="F20" s="23"/>
      <c r="G20" s="24"/>
      <c r="H20" s="24"/>
      <c r="I20" s="24"/>
    </row>
    <row r="21" ht="14.25" spans="1:9">
      <c r="A21" s="22" t="s">
        <v>173</v>
      </c>
      <c r="B21" s="22"/>
      <c r="C21" s="22"/>
      <c r="D21" s="22"/>
      <c r="E21" s="23"/>
      <c r="F21" s="23"/>
      <c r="G21" s="24"/>
      <c r="H21" s="24"/>
      <c r="I21" s="24"/>
    </row>
    <row r="22" spans="1:9">
      <c r="A22" s="16" t="s">
        <v>101</v>
      </c>
      <c r="B22" s="25" t="s">
        <v>140</v>
      </c>
      <c r="C22" s="15"/>
      <c r="D22" s="15"/>
      <c r="E22" s="16"/>
      <c r="F22" s="15"/>
      <c r="G22" s="17"/>
      <c r="H22" s="17"/>
      <c r="I22" s="17"/>
    </row>
    <row r="23" spans="1:9">
      <c r="A23" s="16"/>
      <c r="B23" s="25" t="s">
        <v>141</v>
      </c>
      <c r="C23" s="15"/>
      <c r="D23" s="15"/>
      <c r="E23" s="16"/>
      <c r="F23" s="15"/>
      <c r="G23" s="17"/>
      <c r="H23" s="17"/>
      <c r="I23" s="17"/>
    </row>
    <row r="24" spans="1:9">
      <c r="A24" s="16"/>
      <c r="B24" s="25" t="s">
        <v>142</v>
      </c>
      <c r="C24" s="15"/>
      <c r="D24" s="15"/>
      <c r="E24" s="16"/>
      <c r="F24" s="15"/>
      <c r="G24" s="17"/>
      <c r="H24" s="17"/>
      <c r="I24" s="17"/>
    </row>
    <row r="25" spans="1:9">
      <c r="A25" s="16"/>
      <c r="B25" s="25" t="s">
        <v>143</v>
      </c>
      <c r="C25" s="15"/>
      <c r="D25" s="15"/>
      <c r="E25" s="16"/>
      <c r="F25" s="15"/>
      <c r="G25" s="17"/>
      <c r="H25" s="17"/>
      <c r="I25" s="17"/>
    </row>
    <row r="26" spans="1:9">
      <c r="A26" s="16"/>
      <c r="B26" s="25" t="s">
        <v>144</v>
      </c>
      <c r="C26" s="15"/>
      <c r="D26" s="15"/>
      <c r="E26" s="16"/>
      <c r="F26" s="15"/>
      <c r="G26" s="17"/>
      <c r="H26" s="17"/>
      <c r="I26" s="17"/>
    </row>
    <row r="27" spans="1:9">
      <c r="A27" s="16"/>
      <c r="B27" s="25" t="s">
        <v>145</v>
      </c>
      <c r="C27" s="15"/>
      <c r="D27" s="15"/>
      <c r="E27" s="16"/>
      <c r="F27" s="15"/>
      <c r="G27" s="17"/>
      <c r="H27" s="17"/>
      <c r="I27" s="17"/>
    </row>
    <row r="28" spans="1:9">
      <c r="A28" s="16"/>
      <c r="B28" s="25" t="s">
        <v>146</v>
      </c>
      <c r="C28" s="15"/>
      <c r="D28" s="15"/>
      <c r="E28" s="16"/>
      <c r="F28" s="15"/>
      <c r="G28" s="17"/>
      <c r="H28" s="17"/>
      <c r="I28" s="17"/>
    </row>
    <row r="29" spans="1:9">
      <c r="A29" s="16"/>
      <c r="B29" s="25" t="s">
        <v>147</v>
      </c>
      <c r="C29" s="15"/>
      <c r="D29" s="15"/>
      <c r="E29" s="16"/>
      <c r="F29" s="15"/>
      <c r="G29" s="17"/>
      <c r="H29" s="17"/>
      <c r="I29" s="17"/>
    </row>
    <row r="30" spans="1:9">
      <c r="A30" s="16"/>
      <c r="B30" s="25" t="s">
        <v>148</v>
      </c>
      <c r="C30" s="15"/>
      <c r="D30" s="15"/>
      <c r="E30" s="16"/>
      <c r="F30" s="15"/>
      <c r="G30" s="17"/>
      <c r="H30" s="17"/>
      <c r="I30" s="17"/>
    </row>
    <row r="31" spans="1:9">
      <c r="A31" s="16"/>
      <c r="B31" s="25" t="s">
        <v>149</v>
      </c>
      <c r="C31" s="15"/>
      <c r="D31" s="15"/>
      <c r="E31" s="16"/>
      <c r="F31" s="15"/>
      <c r="G31" s="17"/>
      <c r="H31" s="17"/>
      <c r="I31" s="17"/>
    </row>
    <row r="32" spans="1:9">
      <c r="A32" s="16"/>
      <c r="B32" s="25" t="s">
        <v>150</v>
      </c>
      <c r="C32" s="15"/>
      <c r="D32" s="15"/>
      <c r="E32" s="16"/>
      <c r="F32" s="15"/>
      <c r="G32" s="17"/>
      <c r="H32" s="17"/>
      <c r="I32" s="17"/>
    </row>
    <row r="33" spans="1:9">
      <c r="A33" s="16"/>
      <c r="B33" s="25" t="s">
        <v>151</v>
      </c>
      <c r="C33" s="15"/>
      <c r="D33" s="15"/>
      <c r="E33" s="16"/>
      <c r="F33" s="15"/>
      <c r="G33" s="17"/>
      <c r="H33" s="17"/>
      <c r="I33" s="17"/>
    </row>
    <row r="34" ht="14.25" spans="1:9">
      <c r="A34" s="22" t="s">
        <v>174</v>
      </c>
      <c r="B34" s="22"/>
      <c r="C34" s="22"/>
      <c r="D34" s="22"/>
      <c r="E34" s="16"/>
      <c r="F34" s="15"/>
      <c r="G34" s="24"/>
      <c r="H34" s="24"/>
      <c r="I34" s="24"/>
    </row>
    <row r="35" ht="14.25" spans="1:9">
      <c r="A35" s="22" t="s">
        <v>173</v>
      </c>
      <c r="B35" s="22"/>
      <c r="C35" s="22"/>
      <c r="D35" s="22"/>
      <c r="E35" s="16"/>
      <c r="F35" s="15"/>
      <c r="G35" s="24"/>
      <c r="H35" s="24"/>
      <c r="I35" s="24"/>
    </row>
    <row r="36" ht="14.25" spans="1:9">
      <c r="A36" s="16" t="s">
        <v>152</v>
      </c>
      <c r="B36" s="25" t="s">
        <v>152</v>
      </c>
      <c r="C36" s="15"/>
      <c r="D36" s="15"/>
      <c r="E36" s="16"/>
      <c r="F36" s="15"/>
      <c r="G36" s="24"/>
      <c r="H36" s="24"/>
      <c r="I36" s="24"/>
    </row>
    <row r="37" ht="14.25" spans="1:9">
      <c r="A37" s="22" t="s">
        <v>175</v>
      </c>
      <c r="B37" s="22"/>
      <c r="C37" s="22"/>
      <c r="D37" s="22"/>
      <c r="E37" s="16"/>
      <c r="F37" s="15"/>
      <c r="G37" s="24"/>
      <c r="H37" s="24"/>
      <c r="I37" s="24"/>
    </row>
    <row r="38" ht="14.25" spans="1:9">
      <c r="A38" s="22" t="s">
        <v>173</v>
      </c>
      <c r="B38" s="22"/>
      <c r="C38" s="22"/>
      <c r="D38" s="22"/>
      <c r="E38" s="16"/>
      <c r="F38" s="15"/>
      <c r="G38" s="24"/>
      <c r="H38" s="24"/>
      <c r="I38" s="24"/>
    </row>
    <row r="39" ht="14.25" spans="1:9">
      <c r="A39" s="16" t="s">
        <v>52</v>
      </c>
      <c r="B39" s="25" t="s">
        <v>153</v>
      </c>
      <c r="C39" s="15"/>
      <c r="D39" s="15"/>
      <c r="E39" s="16"/>
      <c r="F39" s="15"/>
      <c r="G39" s="24"/>
      <c r="H39" s="24"/>
      <c r="I39" s="24"/>
    </row>
    <row r="40" ht="14.25" spans="1:9">
      <c r="A40" s="16"/>
      <c r="B40" s="25" t="s">
        <v>154</v>
      </c>
      <c r="C40" s="15"/>
      <c r="D40" s="15"/>
      <c r="E40" s="16"/>
      <c r="F40" s="15"/>
      <c r="G40" s="24"/>
      <c r="H40" s="24"/>
      <c r="I40" s="24"/>
    </row>
    <row r="41" ht="14.25" spans="1:9">
      <c r="A41" s="16"/>
      <c r="B41" s="25" t="s">
        <v>155</v>
      </c>
      <c r="C41" s="15"/>
      <c r="D41" s="15"/>
      <c r="E41" s="16"/>
      <c r="F41" s="15"/>
      <c r="G41" s="24"/>
      <c r="H41" s="24"/>
      <c r="I41" s="24"/>
    </row>
    <row r="42" ht="14.25" spans="1:9">
      <c r="A42" s="16"/>
      <c r="B42" s="25" t="s">
        <v>156</v>
      </c>
      <c r="C42" s="15"/>
      <c r="D42" s="15"/>
      <c r="E42" s="16"/>
      <c r="F42" s="15"/>
      <c r="G42" s="24"/>
      <c r="H42" s="24"/>
      <c r="I42" s="24"/>
    </row>
    <row r="43" ht="14.25" spans="1:9">
      <c r="A43" s="16"/>
      <c r="B43" s="25" t="s">
        <v>157</v>
      </c>
      <c r="C43" s="15"/>
      <c r="D43" s="15"/>
      <c r="E43" s="16"/>
      <c r="F43" s="15"/>
      <c r="G43" s="24"/>
      <c r="H43" s="24"/>
      <c r="I43" s="24"/>
    </row>
    <row r="44" spans="1:9">
      <c r="A44" s="22" t="s">
        <v>175</v>
      </c>
      <c r="B44" s="22"/>
      <c r="C44" s="22"/>
      <c r="D44" s="22"/>
      <c r="E44" s="16"/>
      <c r="F44" s="15"/>
      <c r="G44" s="16"/>
      <c r="H44" s="16"/>
      <c r="I44" s="16"/>
    </row>
    <row r="45" ht="14.25" spans="1:9">
      <c r="A45" s="22" t="s">
        <v>173</v>
      </c>
      <c r="B45" s="22"/>
      <c r="C45" s="22"/>
      <c r="D45" s="22"/>
      <c r="E45" s="16"/>
      <c r="F45" s="15"/>
      <c r="G45" s="24"/>
      <c r="H45" s="24"/>
      <c r="I45" s="24"/>
    </row>
    <row r="46" spans="1:9">
      <c r="A46" s="16" t="s">
        <v>158</v>
      </c>
      <c r="B46" s="25" t="s">
        <v>159</v>
      </c>
      <c r="C46" s="15"/>
      <c r="D46" s="15"/>
      <c r="E46" s="16"/>
      <c r="F46" s="15"/>
      <c r="G46" s="16"/>
      <c r="H46" s="16"/>
      <c r="I46" s="16"/>
    </row>
    <row r="47" spans="1:9">
      <c r="A47" s="16"/>
      <c r="B47" s="25" t="s">
        <v>160</v>
      </c>
      <c r="C47" s="15"/>
      <c r="D47" s="15"/>
      <c r="E47" s="16"/>
      <c r="F47" s="15"/>
      <c r="G47" s="16"/>
      <c r="H47" s="16"/>
      <c r="I47" s="16"/>
    </row>
    <row r="48" spans="1:9">
      <c r="A48" s="16"/>
      <c r="B48" s="25" t="s">
        <v>161</v>
      </c>
      <c r="C48" s="15"/>
      <c r="D48" s="15"/>
      <c r="E48" s="16"/>
      <c r="F48" s="15"/>
      <c r="G48" s="16"/>
      <c r="H48" s="16"/>
      <c r="I48" s="16"/>
    </row>
    <row r="49" spans="1:9">
      <c r="A49" s="16"/>
      <c r="B49" s="25" t="s">
        <v>162</v>
      </c>
      <c r="C49" s="15"/>
      <c r="D49" s="15"/>
      <c r="E49" s="16"/>
      <c r="F49" s="15"/>
      <c r="G49" s="16"/>
      <c r="H49" s="16"/>
      <c r="I49" s="16"/>
    </row>
    <row r="50" ht="14.25" spans="1:9">
      <c r="A50" s="26" t="s">
        <v>176</v>
      </c>
      <c r="B50" s="26"/>
      <c r="C50" s="26"/>
      <c r="D50" s="26"/>
      <c r="E50" s="16"/>
      <c r="F50" s="15"/>
      <c r="G50" s="16"/>
      <c r="H50" s="16"/>
      <c r="I50" s="16"/>
    </row>
    <row r="51" ht="14.25" spans="1:9">
      <c r="A51" s="22" t="s">
        <v>173</v>
      </c>
      <c r="B51" s="22"/>
      <c r="C51" s="22"/>
      <c r="D51" s="22"/>
      <c r="E51" s="16"/>
      <c r="F51" s="15"/>
      <c r="G51" s="24"/>
      <c r="H51" s="24"/>
      <c r="I51" s="24"/>
    </row>
    <row r="52" ht="14.25" spans="1:9">
      <c r="A52" s="26" t="s">
        <v>163</v>
      </c>
      <c r="B52" s="26"/>
      <c r="C52" s="26"/>
      <c r="D52" s="26"/>
      <c r="E52" s="16"/>
      <c r="F52" s="15"/>
      <c r="G52" s="16"/>
      <c r="H52" s="16"/>
      <c r="I52" s="16"/>
    </row>
    <row r="53" ht="14.25" spans="1:9">
      <c r="A53" s="22" t="s">
        <v>177</v>
      </c>
      <c r="B53" s="22"/>
      <c r="C53" s="22"/>
      <c r="D53" s="22"/>
      <c r="E53" s="16"/>
      <c r="F53" s="15"/>
      <c r="G53" s="24"/>
      <c r="H53" s="24"/>
      <c r="I53" s="24"/>
    </row>
  </sheetData>
  <mergeCells count="17">
    <mergeCell ref="A1:I1"/>
    <mergeCell ref="A20:B20"/>
    <mergeCell ref="A21:B21"/>
    <mergeCell ref="A34:B34"/>
    <mergeCell ref="A35:B35"/>
    <mergeCell ref="A37:B37"/>
    <mergeCell ref="A38:B38"/>
    <mergeCell ref="A44:B44"/>
    <mergeCell ref="A45:B45"/>
    <mergeCell ref="A50:B50"/>
    <mergeCell ref="A51:B51"/>
    <mergeCell ref="A52:B52"/>
    <mergeCell ref="A53:B53"/>
    <mergeCell ref="A3:A19"/>
    <mergeCell ref="A22:A33"/>
    <mergeCell ref="A39:A43"/>
    <mergeCell ref="A46:A4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C27"/>
  <sheetViews>
    <sheetView workbookViewId="0">
      <selection activeCell="A10" sqref="A10"/>
    </sheetView>
  </sheetViews>
  <sheetFormatPr defaultColWidth="9" defaultRowHeight="13.5" outlineLevelCol="2"/>
  <cols>
    <col min="1" max="1" width="20.25" style="1" customWidth="1"/>
    <col min="2" max="2" width="24.625" style="1" customWidth="1"/>
    <col min="3" max="3" width="18.875" style="1" customWidth="1"/>
  </cols>
  <sheetData>
    <row r="1" spans="1:3">
      <c r="A1" s="2" t="s">
        <v>178</v>
      </c>
      <c r="B1" s="2" t="s">
        <v>179</v>
      </c>
      <c r="C1" s="2" t="s">
        <v>180</v>
      </c>
    </row>
    <row r="2" spans="1:3">
      <c r="A2" s="1" t="s">
        <v>181</v>
      </c>
      <c r="B2" s="1" t="s">
        <v>182</v>
      </c>
      <c r="C2" s="1" t="s">
        <v>152</v>
      </c>
    </row>
    <row r="3" spans="1:3">
      <c r="A3" s="1" t="s">
        <v>183</v>
      </c>
      <c r="B3" s="1" t="s">
        <v>184</v>
      </c>
      <c r="C3" s="1" t="s">
        <v>185</v>
      </c>
    </row>
    <row r="4" spans="1:3">
      <c r="A4" s="1" t="s">
        <v>131</v>
      </c>
      <c r="B4" s="1" t="s">
        <v>186</v>
      </c>
      <c r="C4" s="1" t="s">
        <v>187</v>
      </c>
    </row>
    <row r="5" spans="1:3">
      <c r="A5" s="1" t="s">
        <v>188</v>
      </c>
      <c r="B5" s="1" t="s">
        <v>147</v>
      </c>
      <c r="C5" s="1" t="s">
        <v>189</v>
      </c>
    </row>
    <row r="6" spans="1:3">
      <c r="A6" s="1" t="s">
        <v>190</v>
      </c>
      <c r="B6" s="1" t="s">
        <v>148</v>
      </c>
      <c r="C6" s="1" t="s">
        <v>191</v>
      </c>
    </row>
    <row r="7" spans="1:3">
      <c r="A7" s="1" t="s">
        <v>192</v>
      </c>
      <c r="B7" s="1" t="s">
        <v>193</v>
      </c>
      <c r="C7" s="1" t="s">
        <v>194</v>
      </c>
    </row>
    <row r="8" spans="1:3">
      <c r="A8" s="1" t="s">
        <v>127</v>
      </c>
      <c r="B8" s="1" t="s">
        <v>195</v>
      </c>
      <c r="C8" s="1" t="s">
        <v>156</v>
      </c>
    </row>
    <row r="9" spans="1:3">
      <c r="A9" s="1" t="s">
        <v>126</v>
      </c>
      <c r="B9" s="1" t="s">
        <v>145</v>
      </c>
      <c r="C9" s="1" t="s">
        <v>196</v>
      </c>
    </row>
    <row r="10" spans="1:3">
      <c r="A10" s="1" t="s">
        <v>134</v>
      </c>
      <c r="B10" s="1" t="s">
        <v>144</v>
      </c>
      <c r="C10" s="1" t="s">
        <v>154</v>
      </c>
    </row>
    <row r="11" spans="1:3">
      <c r="A11" s="1" t="s">
        <v>197</v>
      </c>
      <c r="B11" s="1" t="s">
        <v>198</v>
      </c>
      <c r="C11" s="1" t="s">
        <v>155</v>
      </c>
    </row>
    <row r="12" spans="1:3">
      <c r="A12" s="1" t="s">
        <v>139</v>
      </c>
      <c r="B12" s="1" t="s">
        <v>149</v>
      </c>
      <c r="C12" s="1" t="s">
        <v>199</v>
      </c>
    </row>
    <row r="13" spans="1:3">
      <c r="A13" s="1" t="s">
        <v>200</v>
      </c>
      <c r="B13" s="1" t="s">
        <v>201</v>
      </c>
      <c r="C13" s="1" t="s">
        <v>202</v>
      </c>
    </row>
    <row r="14" spans="1:3">
      <c r="A14" s="1" t="s">
        <v>125</v>
      </c>
      <c r="B14" s="1" t="s">
        <v>203</v>
      </c>
      <c r="C14" s="1" t="s">
        <v>204</v>
      </c>
    </row>
    <row r="15" spans="1:3">
      <c r="A15" s="1" t="s">
        <v>205</v>
      </c>
      <c r="B15" s="1" t="s">
        <v>206</v>
      </c>
      <c r="C15" s="1" t="s">
        <v>207</v>
      </c>
    </row>
    <row r="16" spans="1:3">
      <c r="A16" s="1" t="s">
        <v>208</v>
      </c>
      <c r="B16" s="1" t="s">
        <v>209</v>
      </c>
    </row>
    <row r="17" spans="1:1">
      <c r="A17" s="1" t="s">
        <v>210</v>
      </c>
    </row>
    <row r="18" spans="1:1">
      <c r="A18" s="1" t="s">
        <v>211</v>
      </c>
    </row>
    <row r="19" spans="1:1">
      <c r="A19" s="1" t="s">
        <v>212</v>
      </c>
    </row>
    <row r="20" spans="1:1">
      <c r="A20" s="1" t="s">
        <v>213</v>
      </c>
    </row>
    <row r="21" spans="1:1">
      <c r="A21" s="1" t="s">
        <v>214</v>
      </c>
    </row>
    <row r="22" spans="1:1">
      <c r="A22" s="1" t="s">
        <v>215</v>
      </c>
    </row>
    <row r="23" spans="1:1">
      <c r="A23" s="1" t="s">
        <v>136</v>
      </c>
    </row>
    <row r="24" spans="1:1">
      <c r="A24" s="1" t="s">
        <v>216</v>
      </c>
    </row>
    <row r="25" spans="1:1">
      <c r="A25" s="1" t="s">
        <v>217</v>
      </c>
    </row>
    <row r="26" spans="1:1">
      <c r="A26" s="1" t="s">
        <v>218</v>
      </c>
    </row>
    <row r="27" spans="1:1">
      <c r="A27" s="1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总表</vt:lpstr>
      <vt:lpstr>市本级</vt:lpstr>
      <vt:lpstr>东港</vt:lpstr>
      <vt:lpstr>凤城</vt:lpstr>
      <vt:lpstr>宽甸</vt:lpstr>
      <vt:lpstr>排名</vt:lpstr>
      <vt:lpstr>占比</vt:lpstr>
      <vt:lpstr>各渠道复核业务来源统计</vt:lpstr>
      <vt:lpstr> 复核业务量统计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苏海峰</cp:lastModifiedBy>
  <dcterms:created xsi:type="dcterms:W3CDTF">2006-09-13T19:21:00Z</dcterms:created>
  <cp:lastPrinted>2026-01-04T15:22:00Z</cp:lastPrinted>
  <dcterms:modified xsi:type="dcterms:W3CDTF">2026-02-06T02:57:09Z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61896AB0812B481A813B439789F43C4A_13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